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Chi_tieu_cau_phan" sheetId="2" state="visible" r:id="rId2"/>
    <sheet xmlns:r="http://schemas.openxmlformats.org/officeDocument/2006/relationships" name="Ma_tran" sheetId="3" state="visible" r:id="rId3"/>
    <sheet xmlns:r="http://schemas.openxmlformats.org/officeDocument/2006/relationships" name="Kich_ban_hop_nhat" sheetId="4" state="visible" r:id="rId4"/>
    <sheet xmlns:r="http://schemas.openxmlformats.org/officeDocument/2006/relationships" name="Doi_chieu" sheetId="5" state="visible" r:id="rId5"/>
    <sheet xmlns:r="http://schemas.openxmlformats.org/officeDocument/2006/relationships" name="Tin_hieu_kiem_chung" sheetId="6" state="visible" r:id="rId6"/>
    <sheet xmlns:r="http://schemas.openxmlformats.org/officeDocument/2006/relationships" name="Dong_gop_KV" sheetId="7" state="visible" r:id="rId7"/>
    <sheet xmlns:r="http://schemas.openxmlformats.org/officeDocument/2006/relationships" name="Tang_truong_quy" sheetId="8" state="visible" r:id="rId8"/>
    <sheet xmlns:r="http://schemas.openxmlformats.org/officeDocument/2006/relationships" name="Nganh_9T" sheetId="9" state="visible" r:id="rId9"/>
    <sheet xmlns:r="http://schemas.openxmlformats.org/officeDocument/2006/relationships" name="Co_cau" sheetId="10" state="visible" r:id="rId10"/>
    <sheet xmlns:r="http://schemas.openxmlformats.org/officeDocument/2006/relationships" name="Kiem_chung" sheetId="11" state="visible" r:id="rId11"/>
    <sheet xmlns:r="http://schemas.openxmlformats.org/officeDocument/2006/relationships" name="Nang_suat_LD" sheetId="12" state="visible" r:id="rId12"/>
    <sheet xmlns:r="http://schemas.openxmlformats.org/officeDocument/2006/relationships" name="Kich_ban_Q4" sheetId="13" state="visible" r:id="rId13"/>
    <sheet xmlns:r="http://schemas.openxmlformats.org/officeDocument/2006/relationships" name="Do_nhay_nganh" sheetId="14" state="visible" r:id="rId14"/>
    <sheet xmlns:r="http://schemas.openxmlformats.org/officeDocument/2006/relationships" name="Tran_tang_truong" sheetId="15" state="visible" r:id="rId15"/>
    <sheet xmlns:r="http://schemas.openxmlformats.org/officeDocument/2006/relationships" name="Ton_kho_uoc" sheetId="16" state="visible" r:id="rId16"/>
    <sheet xmlns:r="http://schemas.openxmlformats.org/officeDocument/2006/relationships" name="Dia_phuong" sheetId="17" state="visible" r:id="rId17"/>
    <sheet xmlns:r="http://schemas.openxmlformats.org/officeDocument/2006/relationships" name="The_diem_nganh" sheetId="18" state="visible" r:id="rId18"/>
    <sheet xmlns:r="http://schemas.openxmlformats.org/officeDocument/2006/relationships" name="FDI_trong_nuoc" sheetId="19" state="visible" r:id="rId19"/>
    <sheet xmlns:r="http://schemas.openxmlformats.org/officeDocument/2006/relationships" name="Do_nhay_LS_TG" sheetId="20" state="visible" r:id="rId20"/>
    <sheet xmlns:r="http://schemas.openxmlformats.org/officeDocument/2006/relationships" name="Xuat_khau_2026" sheetId="21" state="visible" r:id="rId21"/>
    <sheet xmlns:r="http://schemas.openxmlformats.org/officeDocument/2006/relationships" name="So_du_bao_2_PP" sheetId="22" state="visible" r:id="rId22"/>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12">
    <font>
      <name val="Calibri"/>
      <family val="2"/>
      <color theme="1"/>
      <sz val="11"/>
      <scheme val="minor"/>
    </font>
    <font>
      <name val="Times New Roman"/>
      <b val="1"/>
      <color rgb="001F3864"/>
      <sz val="14"/>
    </font>
    <font>
      <name val="Times New Roman"/>
      <i val="1"/>
      <color rgb="00C8992F"/>
      <sz val="9"/>
    </font>
    <font>
      <name val="Times New Roman"/>
      <color rgb="005A6576"/>
      <sz val="9"/>
    </font>
    <font>
      <name val="Times New Roman"/>
      <b val="1"/>
      <color rgb="001F3864"/>
      <sz val="10"/>
    </font>
    <font>
      <name val="Times New Roman"/>
      <color rgb="00000000"/>
      <sz val="10"/>
    </font>
    <font>
      <name val="Times New Roman"/>
      <b val="1"/>
      <color rgb="00000000"/>
      <sz val="10"/>
    </font>
    <font>
      <name val="Times New Roman"/>
      <i val="1"/>
      <color rgb="005A6576"/>
      <sz val="9"/>
    </font>
    <font>
      <name val="Times New Roman"/>
      <b val="1"/>
      <color rgb="001E7A46"/>
      <sz val="10"/>
    </font>
    <font>
      <name val="Times New Roman"/>
      <b val="1"/>
      <color rgb="00A93434"/>
      <sz val="10"/>
    </font>
    <font>
      <name val="Times New Roman"/>
      <color rgb="0016213A"/>
      <sz val="10"/>
    </font>
    <font>
      <name val="Times New Roman"/>
      <b val="1"/>
      <color rgb="00FFFFFF"/>
      <sz val="10"/>
    </font>
  </fonts>
  <fills count="8">
    <fill>
      <patternFill/>
    </fill>
    <fill>
      <patternFill patternType="gray125"/>
    </fill>
    <fill>
      <patternFill patternType="solid">
        <fgColor rgb="00DCE6F1"/>
      </patternFill>
    </fill>
    <fill>
      <patternFill patternType="solid">
        <fgColor rgb="00FBF3DF"/>
      </patternFill>
    </fill>
    <fill>
      <patternFill patternType="solid">
        <fgColor rgb="00EDF1F7"/>
      </patternFill>
    </fill>
    <fill>
      <patternFill patternType="solid">
        <fgColor rgb="009FB3D1"/>
      </patternFill>
    </fill>
    <fill>
      <patternFill patternType="solid">
        <fgColor rgb="00F7F8FA"/>
      </patternFill>
    </fill>
    <fill>
      <patternFill patternType="solid">
        <fgColor rgb="001F3864"/>
      </patternFill>
    </fill>
  </fills>
  <borders count="2">
    <border>
      <left/>
      <right/>
      <top/>
      <bottom/>
      <diagonal/>
    </border>
    <border>
      <left style="thin">
        <color rgb="00C9D3E0"/>
      </left>
      <right style="thin">
        <color rgb="00C9D3E0"/>
      </right>
      <top style="thin">
        <color rgb="00C9D3E0"/>
      </top>
      <bottom style="thin">
        <color rgb="00C9D3E0"/>
      </bottom>
    </border>
  </borders>
  <cellStyleXfs count="1">
    <xf numFmtId="0" fontId="0" fillId="0" borderId="0"/>
  </cellStyleXfs>
  <cellXfs count="4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4" fillId="0" borderId="1" applyAlignment="1" pivotButton="0" quotePrefix="0" xfId="0">
      <alignment vertical="top"/>
    </xf>
    <xf numFmtId="0" fontId="5" fillId="0" borderId="1" applyAlignment="1" pivotButton="0" quotePrefix="0" xfId="0">
      <alignment vertical="top" wrapText="1"/>
    </xf>
    <xf numFmtId="0" fontId="4" fillId="0" borderId="0" pivotButton="0" quotePrefix="0" xfId="0"/>
    <xf numFmtId="2" fontId="0" fillId="3" borderId="1" pivotButton="0" quotePrefix="0" xfId="0"/>
    <xf numFmtId="2" fontId="5" fillId="3" borderId="1" applyAlignment="1" pivotButton="0" quotePrefix="0" xfId="0">
      <alignment vertical="top"/>
    </xf>
    <xf numFmtId="2" fontId="5" fillId="4" borderId="1" applyAlignment="1" pivotButton="0" quotePrefix="0" xfId="0">
      <alignment vertical="top"/>
    </xf>
    <xf numFmtId="2" fontId="6" fillId="4" borderId="1" applyAlignment="1" pivotButton="0" quotePrefix="0" xfId="0">
      <alignment vertical="top"/>
    </xf>
    <xf numFmtId="0" fontId="7"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xf>
    <xf numFmtId="164" fontId="5" fillId="3" borderId="1" applyAlignment="1" pivotButton="0" quotePrefix="0" xfId="0">
      <alignment vertical="top"/>
    </xf>
    <xf numFmtId="0" fontId="8" fillId="0" borderId="1" applyAlignment="1" pivotButton="0" quotePrefix="0" xfId="0">
      <alignment vertical="top" wrapText="1"/>
    </xf>
    <xf numFmtId="0" fontId="9" fillId="0" borderId="1" applyAlignment="1" pivotButton="0" quotePrefix="0" xfId="0">
      <alignment vertical="top" wrapText="1"/>
    </xf>
    <xf numFmtId="3" fontId="5" fillId="3" borderId="1" applyAlignment="1" pivotButton="0" quotePrefix="0" xfId="0">
      <alignment vertical="top"/>
    </xf>
    <xf numFmtId="2" fontId="0" fillId="4" borderId="1" pivotButton="0" quotePrefix="0" xfId="0"/>
    <xf numFmtId="165" fontId="0" fillId="3" borderId="1" pivotButton="0" quotePrefix="0" xfId="0"/>
    <xf numFmtId="165" fontId="0" fillId="4" borderId="1" pivotButton="0" quotePrefix="0" xfId="0"/>
    <xf numFmtId="165" fontId="5" fillId="3" borderId="1" applyAlignment="1" pivotButton="0" quotePrefix="0" xfId="0">
      <alignment vertical="top"/>
    </xf>
    <xf numFmtId="165" fontId="6" fillId="4" borderId="1" applyAlignment="1" pivotButton="0" quotePrefix="0" xfId="0">
      <alignment vertical="top"/>
    </xf>
    <xf numFmtId="0" fontId="5" fillId="3" borderId="1" applyAlignment="1" pivotButton="0" quotePrefix="0" xfId="0">
      <alignment vertical="top"/>
    </xf>
    <xf numFmtId="9" fontId="5" fillId="3" borderId="1" applyAlignment="1" pivotButton="0" quotePrefix="0" xfId="0">
      <alignment vertical="top"/>
    </xf>
    <xf numFmtId="165" fontId="5" fillId="4" borderId="1" applyAlignment="1" pivotButton="0" quotePrefix="0" xfId="0">
      <alignment vertical="top"/>
    </xf>
    <xf numFmtId="164" fontId="5" fillId="4" borderId="1" applyAlignment="1" pivotButton="0" quotePrefix="0" xfId="0">
      <alignment vertical="top"/>
    </xf>
    <xf numFmtId="2" fontId="0" fillId="4" borderId="0" pivotButton="0" quotePrefix="0" xfId="0"/>
    <xf numFmtId="2" fontId="5" fillId="0" borderId="1" applyAlignment="1" pivotButton="0" quotePrefix="0" xfId="0">
      <alignment vertical="top"/>
    </xf>
    <xf numFmtId="0" fontId="4" fillId="0" borderId="1" applyAlignment="1" pivotButton="0" quotePrefix="0" xfId="0">
      <alignment vertical="top"/>
    </xf>
    <xf numFmtId="166" fontId="5" fillId="3" borderId="1" applyAlignment="1" pivotButton="0" quotePrefix="0" xfId="0">
      <alignment vertical="top"/>
    </xf>
    <xf numFmtId="2" fontId="5" fillId="3" borderId="1" applyAlignment="1" pivotButton="0" quotePrefix="0" xfId="0">
      <alignment vertical="top"/>
    </xf>
    <xf numFmtId="2" fontId="5" fillId="4" borderId="1" applyAlignment="1" pivotButton="0" quotePrefix="0" xfId="0">
      <alignment vertical="top"/>
    </xf>
    <xf numFmtId="166" fontId="5" fillId="4" borderId="1" applyAlignment="1" pivotButton="0" quotePrefix="0" xfId="0">
      <alignment vertical="top"/>
    </xf>
    <xf numFmtId="2" fontId="6" fillId="4" borderId="1" applyAlignment="1" pivotButton="0" quotePrefix="0" xfId="0">
      <alignment vertical="top"/>
    </xf>
    <xf numFmtId="0" fontId="7" fillId="0" borderId="0" applyAlignment="1" pivotButton="0" quotePrefix="0" xfId="0">
      <alignment/>
    </xf>
    <xf numFmtId="0" fontId="10" fillId="5" borderId="1" applyAlignment="1" pivotButton="0" quotePrefix="0" xfId="0">
      <alignment vertical="top" wrapText="1"/>
    </xf>
    <xf numFmtId="0" fontId="10" fillId="6" borderId="1" applyAlignment="1" pivotButton="0" quotePrefix="0" xfId="0">
      <alignment vertical="top" wrapText="1"/>
    </xf>
    <xf numFmtId="0" fontId="10" fillId="2" borderId="1" applyAlignment="1" pivotButton="0" quotePrefix="0" xfId="0">
      <alignment vertical="top" wrapText="1"/>
    </xf>
    <xf numFmtId="0" fontId="11" fillId="7" borderId="1" applyAlignment="1" pivotButton="0" quotePrefix="0" xfId="0">
      <alignment vertical="top" wrapText="1"/>
    </xf>
    <xf numFmtId="9" fontId="5" fillId="3" borderId="1" applyAlignment="1" pivotButton="0" quotePrefix="0" xfId="0">
      <alignment vertical="top"/>
    </xf>
    <xf numFmtId="164" fontId="5" fillId="3" borderId="1" applyAlignment="1" pivotButton="0" quotePrefix="0" xfId="0">
      <alignment vertical="top"/>
    </xf>
    <xf numFmtId="9" fontId="6" fillId="4" borderId="1" applyAlignment="1" pivotButton="0" quotePrefix="0" xfId="0">
      <alignment vertical="top"/>
    </xf>
    <xf numFmtId="2" fontId="5" fillId="0" borderId="1" applyAlignment="1" pivotButton="0" quotePrefix="0" xfId="0">
      <alignment vertical="top"/>
    </xf>
    <xf numFmtId="0" fontId="5" fillId="3" borderId="1" applyAlignment="1" pivotButton="0" quotePrefix="0" xfId="0">
      <alignment vertical="top"/>
    </xf>
    <xf numFmtId="0" fontId="6" fillId="4"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dxfs count="2">
    <dxf>
      <font>
        <b val="1"/>
        <color rgb="00A93434"/>
      </font>
    </dxf>
    <dxf>
      <font>
        <b val="1"/>
        <color rgb="001E7A4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drawing1.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8.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9.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0.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1.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2.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3.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4.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5.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6.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7.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8.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9.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0.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1.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2.xml><?xml version="1.0" encoding="utf-8"?>
<wsDr xmlns="http://schemas.openxmlformats.org/drawingml/2006/spreadsheetDrawing">
  <oneCellAnchor>
    <from>
      <col>0</col>
      <colOff>0</colOff>
      <row>0</row>
      <rowOff>0</rowOff>
    </from>
    <ext cx="51435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10" customWidth="1" min="2" max="2"/>
  </cols>
  <sheetData>
    <row r="1" ht="34" customHeight="1">
      <c r="B1" s="1" t="inlineStr">
        <is>
          <t>GDP quý III/2026 tổng thể: bảng tính kèm báo cáo</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Mục</t>
        </is>
      </c>
      <c r="B5" s="4" t="inlineStr">
        <is>
          <t>Giải thích</t>
        </is>
      </c>
    </row>
    <row r="6">
      <c r="A6" s="5" t="inlineStr">
        <is>
          <t>Đọc bảng</t>
        </is>
      </c>
      <c r="B6" s="6" t="inlineStr">
        <is>
          <t>Ô nền kem là số liệu đầu vào (Cục Thống kê, nguồn ghi ở từng bảng); ô nền xanh nhạt là công thức do TVN &amp; Partners tính.</t>
        </is>
      </c>
    </row>
    <row r="7">
      <c r="A7" s="5" t="inlineStr">
        <is>
          <t>Điểm % đóng góp</t>
        </is>
      </c>
      <c r="B7" s="6" t="inlineStr">
        <is>
          <t>Tỷ lệ đóng góp (% mức tăng tổng giá trị tăng thêm) nhân phần tăng GDP còn lại sau khi tách thuế sản phẩm, rồi chia 100 (TVN quy đổi).</t>
        </is>
      </c>
    </row>
    <row r="8">
      <c r="A8" s="5" t="inlineStr">
        <is>
          <t>Năng suất</t>
        </is>
      </c>
      <c r="B8" s="6" t="inlineStr">
        <is>
          <t>(1 + tốc độ giá trị tăng thêm) chia (1 + tốc độ việc làm) trừ 1.</t>
        </is>
      </c>
    </row>
    <row r="9">
      <c r="A9" s="5" t="inlineStr">
        <is>
          <t>Tỷ lệ chuyển hóa</t>
        </is>
      </c>
      <c r="B9" s="6" t="inlineStr">
        <is>
          <t>Tốc độ giá trị tăng thêm chế biến chia tốc độ IIP chế biến: mỗi 1% sản lượng giữ lại bao nhiêu % giá trị.</t>
        </is>
      </c>
    </row>
    <row r="10">
      <c r="A10" s="5" t="inlineStr">
        <is>
          <t>Kịch bản quý IV</t>
        </is>
      </c>
      <c r="B10" s="6" t="inlineStr">
        <is>
          <t>GDP quý IV bằng tổng tỷ trọng khu vực nhân tốc độ khu vực; cả năm bằng tỷ trọng 9 tháng nhân 9,01% cộng tỷ trọng quý IV nhân GDP quý IV. Sửa ô nền kem trong sheet Kich_ban_Q4 để thử kịch bản riêng.</t>
        </is>
      </c>
    </row>
    <row r="11">
      <c r="A11" s="5" t="inlineStr">
        <is>
          <t>Độ nhạy theo ngành</t>
        </is>
      </c>
      <c r="B11" s="6" t="inlineStr">
        <is>
          <t>Điểm cần tăng thêm = (12,5% trừ kịch bản cơ sở) chia tỷ trọng quý IV của ngành; sửa tỷ trọng hoặc mục tiêu để thử.</t>
        </is>
      </c>
    </row>
    <row r="12">
      <c r="A12" s="5" t="inlineStr">
        <is>
          <t>Trần tăng trưởng</t>
        </is>
      </c>
      <c r="B12" s="6" t="inlineStr">
        <is>
          <t>Mỗi ngành con đẩy lên mức tối đa khả thi theo ràng buộc đang chặn; trần khu vực = bình quân theo tỷ trọng; GDP quý IV và cả năm ở trần đặt cạnh mức cần cho mục tiêu.</t>
        </is>
      </c>
    </row>
    <row r="13">
      <c r="A13" s="5" t="inlineStr">
        <is>
          <t>Đối chiếu hai phương pháp</t>
        </is>
      </c>
      <c r="B13" s="6" t="inlineStr">
        <is>
          <t>Đặt điểm đóng góp phía sản xuất cạnh C, G, I, NX của phần phân tích chi tiêu; sheet Ton_kho_uoc ước phần tồn kho và tài sản quý trong tích lũy tài sản.</t>
        </is>
      </c>
    </row>
    <row r="14">
      <c r="A14" s="5" t="inlineStr">
        <is>
          <t>Bổ sung 17/10/2026</t>
        </is>
      </c>
      <c r="B14" s="6" t="inlineStr">
        <is>
          <t>The_diem_nganh (thẻ điểm tám nhóm ngành), FDI_trong_nuoc, Do_nhay_LS_TG, Xuat_khau_2026, So_du_bao_2_PP: đồng bộ với clip bản đầy đủ.</t>
        </is>
      </c>
    </row>
    <row r="15">
      <c r="A15" s="5" t="inlineStr">
        <is>
          <t>Lưu ý</t>
        </is>
      </c>
      <c r="B15" s="6" t="inlineStr">
        <is>
          <t>Các tỷ trọng, giá hàng đầu tư và xác suất là giả định của TVN &amp; Partners; thông tin chỉ mang tính tham khảo.</t>
        </is>
      </c>
    </row>
    <row r="16">
      <c r="A16" s="13" t="inlineStr">
        <is>
          <t>Bổ sung 17/10/2026 (bản tổng thể)</t>
        </is>
      </c>
      <c r="B16" s="6" t="inlineStr">
        <is>
          <t>Chi_tieu_cau_phan: đóng góp C, G, I, X, M bằng quyền số nhân tốc độ; Doi_chieu: hai phía cộng cùng 9,95% và 9,01%, dòng cuối phải bằng 0; Ma_tran: cấu phần × ngành; Kich_ban_hop_nhat: kịch bản quý IV của hai cách đo đặt cạnh nhau; Tin_hieu_kiem_chung: nhập số mới để biết kết luận nào đã bị bác.</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8" customWidth="1" min="5" max="5"/>
    <col width="18" customWidth="1" min="6" max="6"/>
    <col width="46" customWidth="1" min="7" max="7"/>
  </cols>
  <sheetData>
    <row r="1" ht="34" customHeight="1">
      <c r="B1" s="1" t="inlineStr">
        <is>
          <t>Phía chi tiêu: đóng góp của C, G, I, X, M vào GDP</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7" t="inlineStr">
        <is>
          <t>GDP quý III/2026 (%)</t>
        </is>
      </c>
      <c r="B5" s="19">
        <f>Dong_gop_KV!B5</f>
        <v/>
      </c>
    </row>
    <row r="6">
      <c r="A6" s="7" t="inlineStr">
        <is>
          <t>GDP 9 tháng 2026 (%)</t>
        </is>
      </c>
      <c r="B6" s="19">
        <f>Dong_gop_KV!B6</f>
        <v/>
      </c>
    </row>
    <row r="7"/>
    <row r="8">
      <c r="A8" s="4" t="inlineStr">
        <is>
          <t>Cấu phần</t>
        </is>
      </c>
      <c r="B8" s="4" t="inlineStr">
        <is>
          <t>Quyền số (TVN)</t>
        </is>
      </c>
      <c r="C8" s="4" t="inlineStr">
        <is>
          <t>Tăng quý III (%)</t>
        </is>
      </c>
      <c r="D8" s="4" t="inlineStr">
        <is>
          <t>Tăng 9 tháng (%)</t>
        </is>
      </c>
      <c r="E8" s="4" t="inlineStr">
        <is>
          <t>Đóng góp quý III (điểm %)</t>
        </is>
      </c>
      <c r="F8" s="4" t="inlineStr">
        <is>
          <t>Đóng góp 9 tháng (điểm %)</t>
        </is>
      </c>
      <c r="G8" s="4" t="inlineStr">
        <is>
          <t>Ghi chú</t>
        </is>
      </c>
    </row>
    <row r="9">
      <c r="A9" s="30" t="inlineStr">
        <is>
          <t>C: tiêu dùng hộ gia đình</t>
        </is>
      </c>
      <c r="B9" s="31" t="n">
        <v>0.706</v>
      </c>
      <c r="C9" s="32" t="n"/>
      <c r="D9" s="32" t="n">
        <v>9.75</v>
      </c>
      <c r="F9" s="33">
        <f>B9*D9</f>
        <v/>
      </c>
      <c r="G9" s="6" t="inlineStr">
        <is>
          <t>Quý III Cục Thống kê công bố gộp C và G: tăng 8,96%</t>
        </is>
      </c>
    </row>
    <row r="10">
      <c r="A10" s="30" t="inlineStr">
        <is>
          <t>G: tiêu dùng Nhà nước</t>
        </is>
      </c>
      <c r="B10" s="31" t="n">
        <v>0.12</v>
      </c>
      <c r="C10" s="32" t="n"/>
      <c r="D10" s="32" t="n">
        <v>1.22</v>
      </c>
      <c r="F10" s="33">
        <f>B10*D10</f>
        <v/>
      </c>
      <c r="G10" s="6" t="inlineStr">
        <is>
          <t>Siết chi bộ máy</t>
        </is>
      </c>
    </row>
    <row r="11">
      <c r="A11" s="30" t="inlineStr">
        <is>
          <t>C + G: tiêu dùng cuối cùng</t>
        </is>
      </c>
      <c r="B11" s="34">
        <f>B9+B10</f>
        <v/>
      </c>
      <c r="C11" s="32" t="n">
        <v>8.960000000000001</v>
      </c>
      <c r="D11" s="32" t="n"/>
      <c r="E11" s="33">
        <f>B11*C11</f>
        <v/>
      </c>
      <c r="G11" s="6" t="inlineStr">
        <is>
          <t>Quý III dùng tốc độ gộp</t>
        </is>
      </c>
    </row>
    <row r="12">
      <c r="A12" s="30" t="inlineStr">
        <is>
          <t>I: tích lũy tài sản</t>
        </is>
      </c>
      <c r="B12" s="31" t="n">
        <v>0.33</v>
      </c>
      <c r="C12" s="32" t="n">
        <v>21.39</v>
      </c>
      <c r="D12" s="32" t="n">
        <v>17.88</v>
      </c>
      <c r="E12" s="33">
        <f>B12*C12</f>
        <v/>
      </c>
      <c r="F12" s="33">
        <f>B12*D12</f>
        <v/>
      </c>
      <c r="G12" s="6" t="inlineStr">
        <is>
          <t>Gồm tài sản cố định, tồn kho, tài sản quý</t>
        </is>
      </c>
    </row>
    <row r="13">
      <c r="A13" s="30" t="inlineStr">
        <is>
          <t>X: xuất khẩu hàng hóa và dịch vụ</t>
        </is>
      </c>
      <c r="B13" s="31" t="n">
        <v>0.9</v>
      </c>
      <c r="C13" s="32" t="n">
        <v>23.27</v>
      </c>
      <c r="D13" s="32" t="n">
        <v>21.29</v>
      </c>
      <c r="E13" s="33">
        <f>B13*C13</f>
        <v/>
      </c>
      <c r="F13" s="33">
        <f>B13*D13</f>
        <v/>
      </c>
      <c r="G13" s="6" t="inlineStr">
        <is>
          <t>Gồm chi tiêu của khách quốc tế</t>
        </is>
      </c>
    </row>
    <row r="14">
      <c r="A14" s="30" t="inlineStr">
        <is>
          <t>M: nhập khẩu hàng hóa và dịch vụ</t>
        </is>
      </c>
      <c r="B14" s="31" t="n">
        <v>0.86</v>
      </c>
      <c r="C14" s="32" t="n">
        <v>28.75</v>
      </c>
      <c r="D14" s="32" t="n">
        <v>27.19</v>
      </c>
      <c r="E14" s="33">
        <f>-B14*C14</f>
        <v/>
      </c>
      <c r="F14" s="33">
        <f>-B14*D14</f>
        <v/>
      </c>
      <c r="G14" s="6" t="inlineStr">
        <is>
          <t>Trừ ra khỏi GDP</t>
        </is>
      </c>
    </row>
    <row r="15">
      <c r="A15" s="30" t="inlineStr">
        <is>
          <t>NX = X - M</t>
        </is>
      </c>
      <c r="E15" s="35">
        <f>E13+E14</f>
        <v/>
      </c>
      <c r="F15" s="35">
        <f>F13+F14</f>
        <v/>
      </c>
    </row>
    <row r="16">
      <c r="A16" s="30" t="inlineStr">
        <is>
          <t>Chênh lệch thống kê và sai số quyền số</t>
        </is>
      </c>
      <c r="E16" s="33">
        <f>B5-(E11+E12+E15)</f>
        <v/>
      </c>
      <c r="F16" s="33">
        <f>B6-(F9+F10+F12+F15)</f>
        <v/>
      </c>
    </row>
    <row r="17">
      <c r="A17" s="30" t="inlineStr">
        <is>
          <t>GDP (kiểm tra tổng)</t>
        </is>
      </c>
      <c r="E17" s="35">
        <f>E11+E12+E15+E16</f>
        <v/>
      </c>
      <c r="F17" s="35">
        <f>F9+F10+F12+F15+F16</f>
        <v/>
      </c>
    </row>
    <row r="18"/>
    <row r="19">
      <c r="A19" s="36" t="inlineStr">
        <is>
          <t>Nguồn: Cục Thống kê (03/10/2026) cho tốc độ tăng; quyền số C, G suy từ số đóng góp chính thức (C 9 tháng góp 6,88 điểm), quyền số I, X, M do TVN ước theo cơ cấu GDP thực năm 2025.</t>
        </is>
      </c>
    </row>
    <row r="20">
      <c r="A20" s="36" t="inlineStr">
        <is>
          <t>Đóng góp = quyền số nhân tốc độ tăng. Sửa ô nền kem để thử giả định khác; NX, chênh lệch thống kê và tổng tự tính lại.</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ht="34" customHeight="1">
      <c r="B1" s="1" t="inlineStr">
        <is>
          <t>Ma trận cấu phần GDP × nhóm ngành: ai làm ra phần nào</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Cấu phần \ Ngành</t>
        </is>
      </c>
      <c r="B5" s="4" t="inlineStr">
        <is>
          <t>Nông, lâm, thủy sản</t>
        </is>
      </c>
      <c r="C5" s="4" t="inlineStr">
        <is>
          <t>Chế biến, chế tạo</t>
        </is>
      </c>
      <c r="D5" s="4" t="inlineStr">
        <is>
          <t>Xây dựng</t>
        </is>
      </c>
      <c r="E5" s="4" t="inlineStr">
        <is>
          <t>Khai khoáng, điện</t>
        </is>
      </c>
      <c r="F5" s="4" t="inlineStr">
        <is>
          <t>Thương mại, vận tải</t>
        </is>
      </c>
      <c r="G5" s="4" t="inlineStr">
        <is>
          <t>Lưu trú, ăn uống</t>
        </is>
      </c>
      <c r="H5" s="4" t="inlineStr">
        <is>
          <t>Tài chính, bất động sản</t>
        </is>
      </c>
      <c r="I5" s="4" t="inlineStr">
        <is>
          <t>Dịch vụ công</t>
        </is>
      </c>
    </row>
    <row r="6" ht="42" customHeight="1">
      <c r="A6" s="30" t="inlineStr">
        <is>
          <t>C · Tiêu dùng hộ</t>
        </is>
      </c>
      <c r="B6" s="37" t="inlineStr">
        <is>
          <t>2 · Lương thực, thực phẩm</t>
        </is>
      </c>
      <c r="C6" s="37" t="inlineStr">
        <is>
          <t>2 · Hàng tiêu dùng</t>
        </is>
      </c>
      <c r="D6" s="38" t="inlineStr">
        <is>
          <t>0</t>
        </is>
      </c>
      <c r="E6" s="39" t="inlineStr">
        <is>
          <t>1 · Điện sinh hoạt</t>
        </is>
      </c>
      <c r="F6" s="40" t="inlineStr">
        <is>
          <t>3 · Bán lẻ thực 9 tháng +7,8%</t>
        </is>
      </c>
      <c r="G6" s="40" t="inlineStr">
        <is>
          <t>3 · Lưu trú, ăn uống +8,83%</t>
        </is>
      </c>
      <c r="H6" s="37" t="inlineStr">
        <is>
          <t>2 · Nhà ở, dịch vụ ngân hàng</t>
        </is>
      </c>
      <c r="I6" s="39" t="inlineStr">
        <is>
          <t>1 · Y tế, giáo dục tư</t>
        </is>
      </c>
    </row>
    <row r="7" ht="42" customHeight="1">
      <c r="A7" s="30" t="inlineStr">
        <is>
          <t>G · Tiêu dùng Nhà nước</t>
        </is>
      </c>
      <c r="B7" s="38" t="inlineStr">
        <is>
          <t>0</t>
        </is>
      </c>
      <c r="C7" s="38" t="inlineStr">
        <is>
          <t>0</t>
        </is>
      </c>
      <c r="D7" s="38" t="inlineStr">
        <is>
          <t>0</t>
        </is>
      </c>
      <c r="E7" s="38" t="inlineStr">
        <is>
          <t>0</t>
        </is>
      </c>
      <c r="F7" s="38" t="inlineStr">
        <is>
          <t>0</t>
        </is>
      </c>
      <c r="G7" s="38" t="inlineStr">
        <is>
          <t>0</t>
        </is>
      </c>
      <c r="H7" s="38" t="inlineStr">
        <is>
          <t>0</t>
        </is>
      </c>
      <c r="I7" s="40" t="inlineStr">
        <is>
          <t>3 · G chỉ +1,22%</t>
        </is>
      </c>
    </row>
    <row r="8" ht="42" customHeight="1">
      <c r="A8" s="30" t="inlineStr">
        <is>
          <t>I · Tích lũy tài sản</t>
        </is>
      </c>
      <c r="B8" s="39" t="inlineStr">
        <is>
          <t>1 · Tồn kho nông sản</t>
        </is>
      </c>
      <c r="C8" s="40" t="inlineStr">
        <is>
          <t>3 · Máy móc; tồn kho +11,9%</t>
        </is>
      </c>
      <c r="D8" s="40" t="inlineStr">
        <is>
          <t>3 · Xây dựng quý III +14,22%</t>
        </is>
      </c>
      <c r="E8" s="39" t="inlineStr">
        <is>
          <t>1 · Tồn kho dầu, than</t>
        </is>
      </c>
      <c r="F8" s="39" t="inlineStr">
        <is>
          <t>1 · Kho bãi</t>
        </is>
      </c>
      <c r="G8" s="38" t="inlineStr">
        <is>
          <t>0</t>
        </is>
      </c>
      <c r="H8" s="37" t="inlineStr">
        <is>
          <t>2 · Công trình bất động sản</t>
        </is>
      </c>
      <c r="I8" s="38" t="inlineStr">
        <is>
          <t>0</t>
        </is>
      </c>
    </row>
    <row r="9" ht="42" customHeight="1">
      <c r="A9" s="30" t="inlineStr">
        <is>
          <t>X · Xuất khẩu</t>
        </is>
      </c>
      <c r="B9" s="37" t="inlineStr">
        <is>
          <t>2 · Nông sản xuất siêu</t>
        </is>
      </c>
      <c r="C9" s="40" t="inlineStr">
        <is>
          <t>3 · 80,7% xuất khẩu do FDI</t>
        </is>
      </c>
      <c r="D9" s="38" t="inlineStr">
        <is>
          <t>0</t>
        </is>
      </c>
      <c r="E9" s="37" t="inlineStr">
        <is>
          <t>2 · Dầu thô</t>
        </is>
      </c>
      <c r="F9" s="37" t="inlineStr">
        <is>
          <t>2 · Vận tải hàng +15,8%</t>
        </is>
      </c>
      <c r="G9" s="37" t="inlineStr">
        <is>
          <t>2 · Khách quốc tế +14,5%</t>
        </is>
      </c>
      <c r="H9" s="39" t="inlineStr">
        <is>
          <t>1 · Dịch vụ tài chính</t>
        </is>
      </c>
      <c r="I9" s="38" t="inlineStr">
        <is>
          <t>0</t>
        </is>
      </c>
    </row>
    <row r="10" ht="42" customHeight="1">
      <c r="A10" s="30" t="inlineStr">
        <is>
          <t>M · Nhập khẩu (trừ ra)</t>
        </is>
      </c>
      <c r="B10" s="39" t="inlineStr">
        <is>
          <t>1 · Thức ăn chăn nuôi</t>
        </is>
      </c>
      <c r="C10" s="40" t="inlineStr">
        <is>
          <t>3 · Linh kiện +71,7%</t>
        </is>
      </c>
      <c r="D10" s="37" t="inlineStr">
        <is>
          <t>2 · Máy móc, thép</t>
        </is>
      </c>
      <c r="E10" s="37" t="inlineStr">
        <is>
          <t>2 · Xăng dầu</t>
        </is>
      </c>
      <c r="F10" s="39" t="inlineStr">
        <is>
          <t>1 · Cước vận tải</t>
        </is>
      </c>
      <c r="G10" s="38" t="inlineStr">
        <is>
          <t>0</t>
        </is>
      </c>
      <c r="H10" s="38" t="inlineStr">
        <is>
          <t>0</t>
        </is>
      </c>
      <c r="I10" s="38" t="inlineStr">
        <is>
          <t>0</t>
        </is>
      </c>
    </row>
    <row r="11"/>
    <row r="12">
      <c r="A12" s="36" t="inlineStr">
        <is>
          <t>Mức: 3 lớn, 2 vừa, 1 nhỏ, 0 không đáng kể. Mức độ đậm nhạt là đánh giá của TVN dựa trên cơ cấu ngành và số liệu Cục Thống kê quý III, 9 tháng/2026; không phải bảng cân đối liên ngành chính thức.</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44" customWidth="1" min="1" max="1"/>
    <col width="11" customWidth="1" min="2" max="2"/>
    <col width="14" customWidth="1" min="3" max="3"/>
    <col width="14" customWidth="1" min="4" max="4"/>
    <col width="14" customWidth="1" min="5" max="5"/>
    <col width="14" customWidth="1" min="6" max="6"/>
    <col width="14" customWidth="1" min="7" max="7"/>
    <col width="14" customWidth="1" min="8" max="8"/>
    <col width="18" customWidth="1" min="9" max="9"/>
  </cols>
  <sheetData>
    <row r="1" ht="34" customHeight="1">
      <c r="B1" s="1" t="inlineStr">
        <is>
          <t>Kịch bản quý IV và cả năm 2026: hai cách đo đặt cạnh nhau</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Kịch bản</t>
        </is>
      </c>
      <c r="B5" s="4" t="inlineStr">
        <is>
          <t>Xác suất</t>
        </is>
      </c>
      <c r="C5" s="4" t="inlineStr">
        <is>
          <t>Chi tiêu: quý IV thấp</t>
        </is>
      </c>
      <c r="D5" s="4" t="inlineStr">
        <is>
          <t>Chi tiêu: quý IV cao</t>
        </is>
      </c>
      <c r="E5" s="4" t="inlineStr">
        <is>
          <t>Chi tiêu: cả năm thấp</t>
        </is>
      </c>
      <c r="F5" s="4" t="inlineStr">
        <is>
          <t>Chi tiêu: cả năm cao</t>
        </is>
      </c>
      <c r="G5" s="4" t="inlineStr">
        <is>
          <t>Sản xuất: quý IV</t>
        </is>
      </c>
      <c r="H5" s="4" t="inlineStr">
        <is>
          <t>Sản xuất: cả năm</t>
        </is>
      </c>
      <c r="I5" s="4" t="inlineStr">
        <is>
          <t>Quý IV chung (trung bình hai cách)</t>
        </is>
      </c>
    </row>
    <row r="6">
      <c r="A6" s="30" t="inlineStr">
        <is>
          <t>Cơ sở</t>
        </is>
      </c>
      <c r="B6" s="41" t="n">
        <v>0.55</v>
      </c>
      <c r="C6" s="42" t="n">
        <v>11</v>
      </c>
      <c r="D6" s="42" t="n">
        <v>11.5</v>
      </c>
      <c r="E6" s="42" t="n">
        <v>9.6</v>
      </c>
      <c r="F6" s="42" t="n">
        <v>9.699999999999999</v>
      </c>
      <c r="G6" s="33">
        <f>Kich_ban_Q4!D15</f>
        <v/>
      </c>
      <c r="H6" s="33">
        <f>Kich_ban_Q4!D16</f>
        <v/>
      </c>
      <c r="I6" s="35">
        <f>((C6+D6)/2+G6)/2</f>
        <v/>
      </c>
    </row>
    <row r="7">
      <c r="A7" s="30" t="inlineStr">
        <is>
          <t>Tích cực</t>
        </is>
      </c>
      <c r="B7" s="41" t="n">
        <v>0.2</v>
      </c>
      <c r="C7" s="42" t="n">
        <v>12</v>
      </c>
      <c r="D7" s="42" t="n">
        <v>12.5</v>
      </c>
      <c r="E7" s="42" t="n">
        <v>9.9</v>
      </c>
      <c r="F7" s="42" t="n">
        <v>10</v>
      </c>
      <c r="G7" s="33">
        <f>Kich_ban_Q4!E15</f>
        <v/>
      </c>
      <c r="H7" s="33">
        <f>Kich_ban_Q4!E16</f>
        <v/>
      </c>
      <c r="I7" s="35">
        <f>((C7+D7)/2+G7)/2</f>
        <v/>
      </c>
    </row>
    <row r="8">
      <c r="A8" s="30" t="inlineStr">
        <is>
          <t>Tiêu cực</t>
        </is>
      </c>
      <c r="B8" s="41" t="n">
        <v>0.25</v>
      </c>
      <c r="C8" s="42" t="n">
        <v>9.5</v>
      </c>
      <c r="D8" s="42" t="n">
        <v>10</v>
      </c>
      <c r="E8" s="42" t="n">
        <v>9.199999999999999</v>
      </c>
      <c r="F8" s="42" t="n">
        <v>9.300000000000001</v>
      </c>
      <c r="G8" s="33">
        <f>Kich_ban_Q4!F15</f>
        <v/>
      </c>
      <c r="H8" s="33">
        <f>Kich_ban_Q4!F16</f>
        <v/>
      </c>
      <c r="I8" s="35">
        <f>((C8+D8)/2+G8)/2</f>
        <v/>
      </c>
    </row>
    <row r="9">
      <c r="A9" s="30" t="inlineStr">
        <is>
          <t>Tổng xác suất (kiểm tra = 100%)</t>
        </is>
      </c>
      <c r="B9" s="43">
        <f>SUM(B6:B8)</f>
        <v/>
      </c>
    </row>
    <row r="10">
      <c r="A10" s="30" t="inlineStr">
        <is>
          <t>Bình quân theo xác suất</t>
        </is>
      </c>
      <c r="C10" s="35">
        <f>SUMPRODUCT($B$6:$B$8,C6:C8)</f>
        <v/>
      </c>
      <c r="D10" s="35">
        <f>SUMPRODUCT($B$6:$B$8,D6:D8)</f>
        <v/>
      </c>
      <c r="E10" s="35">
        <f>SUMPRODUCT($B$6:$B$8,E6:E8)</f>
        <v/>
      </c>
      <c r="F10" s="35">
        <f>SUMPRODUCT($B$6:$B$8,F6:F8)</f>
        <v/>
      </c>
      <c r="G10" s="35">
        <f>SUMPRODUCT($B$6:$B$8,G6:G8)</f>
        <v/>
      </c>
      <c r="H10" s="35">
        <f>SUMPRODUCT($B$6:$B$8,H6:H8)</f>
        <v/>
      </c>
      <c r="I10" s="35">
        <f>SUMPRODUCT($B$6:$B$8,I6:I8)</f>
        <v/>
      </c>
    </row>
    <row r="11"/>
    <row r="12">
      <c r="A12" s="30" t="inlineStr">
        <is>
          <t>Trần sức làm ra (phía sản xuất): quý IV | cả năm</t>
        </is>
      </c>
      <c r="G12" s="42" t="n">
        <v>12.3</v>
      </c>
      <c r="H12" s="42" t="n">
        <v>9.9</v>
      </c>
    </row>
    <row r="13">
      <c r="A13" s="30" t="inlineStr">
        <is>
          <t>Mục tiêu quý IV (%)</t>
        </is>
      </c>
      <c r="G13" s="42" t="n">
        <v>12.5</v>
      </c>
    </row>
    <row r="14">
      <c r="A14" s="30" t="inlineStr">
        <is>
          <t>Khoảng cách trần với mục tiêu (điểm)</t>
        </is>
      </c>
      <c r="G14" s="35">
        <f>G12-G13</f>
        <v/>
      </c>
    </row>
    <row r="15"/>
    <row r="16">
      <c r="A16" s="36" t="inlineStr">
        <is>
          <t>Phía chi tiêu: khoảng dự báo của TVN theo công thức C + G + I + NX (phần phân tích chi tiêu). Phía sản xuất: lấy trực tiếp từ sheet Kich_ban_Q4 (công thức theo tỷ trọng khu vực).</t>
        </is>
      </c>
    </row>
    <row r="17">
      <c r="A17" s="36" t="inlineStr">
        <is>
          <t>Xác suất là đánh giá của TVN &amp; Partners; sửa ô nền kem để thử, các dòng bình quân và khoảng cách tự tính lại.</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30" customWidth="1" min="1" max="1"/>
    <col width="56" customWidth="1" min="2" max="2"/>
    <col width="18" customWidth="1" min="3" max="3"/>
    <col width="18" customWidth="1" min="4" max="4"/>
  </cols>
  <sheetData>
    <row r="1" ht="34" customHeight="1">
      <c r="B1" s="1" t="inlineStr">
        <is>
          <t>Đối chiếu phương pháp sản xuất và phương pháp chi tiêu</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Phía đo</t>
        </is>
      </c>
      <c r="B5" s="4" t="inlineStr">
        <is>
          <t>Cấu phần</t>
        </is>
      </c>
      <c r="C5" s="4" t="inlineStr">
        <is>
          <t>9 tháng (điểm %)</t>
        </is>
      </c>
      <c r="D5" s="4" t="inlineStr">
        <is>
          <t>Quý III (điểm %)</t>
        </is>
      </c>
    </row>
    <row r="6">
      <c r="A6" s="5" t="inlineStr">
        <is>
          <t>Sản xuất</t>
        </is>
      </c>
      <c r="B6" s="14" t="inlineStr">
        <is>
          <t>Nông, lâm, thủy sản</t>
        </is>
      </c>
      <c r="C6" s="10">
        <f>Dong_gop_KV!G10</f>
        <v/>
      </c>
      <c r="D6" s="10">
        <f>Dong_gop_KV!D10</f>
        <v/>
      </c>
    </row>
    <row r="7">
      <c r="A7" s="5" t="inlineStr">
        <is>
          <t>Sản xuất</t>
        </is>
      </c>
      <c r="B7" s="14" t="inlineStr">
        <is>
          <t>Công nghiệp và xây dựng</t>
        </is>
      </c>
      <c r="C7" s="10">
        <f>Dong_gop_KV!G11</f>
        <v/>
      </c>
      <c r="D7" s="10">
        <f>Dong_gop_KV!D11</f>
        <v/>
      </c>
    </row>
    <row r="8">
      <c r="A8" s="5" t="inlineStr">
        <is>
          <t>Sản xuất</t>
        </is>
      </c>
      <c r="B8" s="14" t="inlineStr">
        <is>
          <t>Dịch vụ</t>
        </is>
      </c>
      <c r="C8" s="10">
        <f>Dong_gop_KV!G12</f>
        <v/>
      </c>
      <c r="D8" s="10">
        <f>Dong_gop_KV!D12</f>
        <v/>
      </c>
    </row>
    <row r="9">
      <c r="A9" s="5" t="inlineStr">
        <is>
          <t>Sản xuất</t>
        </is>
      </c>
      <c r="B9" s="14" t="inlineStr">
        <is>
          <t>Thuế sản phẩm trừ trợ cấp (TVN ước)</t>
        </is>
      </c>
      <c r="C9" s="10">
        <f>Dong_gop_KV!G13</f>
        <v/>
      </c>
      <c r="D9" s="10">
        <f>Dong_gop_KV!D13</f>
        <v/>
      </c>
    </row>
    <row r="10">
      <c r="A10" s="5" t="inlineStr">
        <is>
          <t>Tổng phía sản xuất</t>
        </is>
      </c>
      <c r="C10" s="11">
        <f>SUM(C6:C9)</f>
        <v/>
      </c>
      <c r="D10" s="11">
        <f>SUM(D6:D9)</f>
        <v/>
      </c>
    </row>
    <row r="11">
      <c r="A11" s="5" t="inlineStr">
        <is>
          <t>Chi tiêu</t>
        </is>
      </c>
      <c r="B11" s="14" t="inlineStr">
        <is>
          <t>C: tiêu dùng hộ gia đình (quý III gộp C và G)</t>
        </is>
      </c>
      <c r="C11" s="9" t="n">
        <v>6.88</v>
      </c>
      <c r="D11" s="9" t="n">
        <v>7.4</v>
      </c>
    </row>
    <row r="12">
      <c r="A12" s="5" t="inlineStr">
        <is>
          <t>Chi tiêu</t>
        </is>
      </c>
      <c r="B12" s="14" t="inlineStr">
        <is>
          <t>G: tiêu dùng Nhà nước</t>
        </is>
      </c>
      <c r="C12" s="9" t="n">
        <v>0.15</v>
      </c>
      <c r="D12" s="9" t="n">
        <v>0</v>
      </c>
    </row>
    <row r="13">
      <c r="A13" s="5" t="inlineStr">
        <is>
          <t>Chi tiêu</t>
        </is>
      </c>
      <c r="B13" s="14" t="inlineStr">
        <is>
          <t>I: tích lũy tài sản</t>
        </is>
      </c>
      <c r="C13" s="9" t="n">
        <v>5.9</v>
      </c>
      <c r="D13" s="9" t="n">
        <v>7.06</v>
      </c>
    </row>
    <row r="14">
      <c r="A14" s="5" t="inlineStr">
        <is>
          <t>Chi tiêu</t>
        </is>
      </c>
      <c r="B14" s="14" t="inlineStr">
        <is>
          <t>NX: xuất khẩu ròng</t>
        </is>
      </c>
      <c r="C14" s="9" t="n">
        <v>-4.22</v>
      </c>
      <c r="D14" s="9" t="n">
        <v>-3.79</v>
      </c>
    </row>
    <row r="15">
      <c r="A15" s="5" t="inlineStr">
        <is>
          <t>Chi tiêu</t>
        </is>
      </c>
      <c r="B15" s="14" t="inlineStr">
        <is>
          <t>Chênh lệch thống kê và sai số quyền số (= GDP trừ tổng cấu phần)</t>
        </is>
      </c>
      <c r="C15" s="10">
        <f>Dong_gop_KV!B6-SUM(C11:C14)</f>
        <v/>
      </c>
      <c r="D15" s="10">
        <f>Dong_gop_KV!B5-SUM(D11:D14)</f>
        <v/>
      </c>
    </row>
    <row r="16">
      <c r="A16" s="5" t="inlineStr">
        <is>
          <t>Tổng phía chi tiêu</t>
        </is>
      </c>
      <c r="C16" s="11">
        <f>SUM(C11:C15)</f>
        <v/>
      </c>
      <c r="D16" s="11">
        <f>SUM(D11:D15)</f>
        <v/>
      </c>
    </row>
    <row r="17">
      <c r="A17" s="5" t="inlineStr">
        <is>
          <t>Chênh lệch hai phía (phải bằng 0)</t>
        </is>
      </c>
      <c r="C17" s="11">
        <f>C10-C16</f>
        <v/>
      </c>
      <c r="D17" s="11">
        <f>D10-D16</f>
        <v/>
      </c>
    </row>
    <row r="18">
      <c r="A18" s="12" t="inlineStr">
        <is>
          <t>Nguồn: Cục Thống kê (03/10/2026); điểm % phía sản xuất = tỷ lệ đóng góp của Cục Thống kê quy ra GDP sau khi tách thuế sản phẩm (TVN ước); phía chi tiêu theo ước tính của TVN, quyền số I, X, M do TVN ước tính. Tỷ lệ đóng góp của ba khu vực cộng đủ 100% mức tăng tổng giá trị tăng thêm theo cách Cục Thống kê công bố.</t>
        </is>
      </c>
    </row>
    <row r="19">
      <c r="A19" s="12" t="inlineStr">
        <is>
          <t>Số phía chi tiêu lấy từ phần phân tích chi tiêu của TVN (C 9 tháng 6,88 điểm theo Cục Thống kê; quyền số I, X, M do TVN ước).</t>
        </is>
      </c>
    </row>
    <row r="20"/>
    <row r="21">
      <c r="A21" s="4" t="inlineStr">
        <is>
          <t>Thước đo</t>
        </is>
      </c>
      <c r="B21" s="4" t="inlineStr">
        <is>
          <t>Số liệu</t>
        </is>
      </c>
      <c r="C21" s="4" t="inlineStr">
        <is>
          <t>Đo cái gì</t>
        </is>
      </c>
      <c r="D21" s="4" t="inlineStr">
        <is>
          <t>Dùng ở bản nào</t>
        </is>
      </c>
    </row>
    <row r="22">
      <c r="A22" s="13" t="inlineStr">
        <is>
          <t>Thu nhập bình quân của người lao động, thực</t>
        </is>
      </c>
      <c r="B22" s="6" t="inlineStr">
        <is>
          <t>Khoảng +4,9% (danh nghĩa +9,9%, 9,2 triệu đồng/tháng)</t>
        </is>
      </c>
      <c r="C22" s="6" t="inlineStr">
        <is>
          <t>Mọi người có việc làm, gồm cả người tự làm</t>
        </is>
      </c>
      <c r="D22" s="6" t="inlineStr">
        <is>
          <t>Cả hai bản</t>
        </is>
      </c>
    </row>
    <row r="23">
      <c r="A23" s="13" t="inlineStr">
        <is>
          <t>Lương của lao động làm công, thực</t>
        </is>
      </c>
      <c r="B23" s="6" t="inlineStr">
        <is>
          <t>Khoảng +3,0%</t>
        </is>
      </c>
      <c r="C23" s="6" t="inlineStr">
        <is>
          <t>Chỉ người làm công hưởng lương</t>
        </is>
      </c>
      <c r="D23" s="6" t="inlineStr">
        <is>
          <t>Bản chi tiêu</t>
        </is>
      </c>
    </row>
    <row r="24">
      <c r="A24" s="13" t="inlineStr">
        <is>
          <t>Lạm phát của hộ thu nhập thấp</t>
        </is>
      </c>
      <c r="B24" s="6" t="inlineStr">
        <is>
          <t>Khoảng 4,9% (hộ thu nhập cao 4,1%)</t>
        </is>
      </c>
      <c r="C24" s="6" t="inlineStr">
        <is>
          <t>Giá rổ hàng của hộ thu nhập thấp; đây là giá, không phải thu nhập</t>
        </is>
      </c>
      <c r="D24" s="6" t="inlineStr">
        <is>
          <t>Bản chi tiêu</t>
        </is>
      </c>
    </row>
    <row r="25">
      <c r="A25" s="13" t="inlineStr">
        <is>
          <t>Bán lẻ thực quý III</t>
        </is>
      </c>
      <c r="B25" s="6" t="inlineStr">
        <is>
          <t>Khoảng 8,75% (TVN ước)</t>
        </is>
      </c>
      <c r="C25" s="6" t="inlineStr">
        <is>
          <t>Doanh thu bán lẻ trừ giá, riêng quý III</t>
        </is>
      </c>
      <c r="D25" s="6" t="inlineStr">
        <is>
          <t>Bản chi tiêu</t>
        </is>
      </c>
    </row>
    <row r="26">
      <c r="A26" s="13" t="inlineStr">
        <is>
          <t>Bán lẻ thực 9 tháng</t>
        </is>
      </c>
      <c r="B26" s="6" t="inlineStr">
        <is>
          <t>+7,8%</t>
        </is>
      </c>
      <c r="C26" s="6" t="inlineStr">
        <is>
          <t>Doanh thu bán lẻ trừ giá, lũy kế 9 tháng</t>
        </is>
      </c>
      <c r="D26" s="6" t="inlineStr">
        <is>
          <t>Cả hai bản</t>
        </is>
      </c>
    </row>
    <row r="27">
      <c r="A27" s="13" t="inlineStr">
        <is>
          <t>Năng suất lao động</t>
        </is>
      </c>
      <c r="B27" s="6" t="inlineStr">
        <is>
          <t>Khoảng +8,5% (TVN)</t>
        </is>
      </c>
      <c r="C27" s="6" t="inlineStr">
        <is>
          <t>Giá trị tăng thêm trên mỗi lao động, gồm cả hàng làm ra chưa bán</t>
        </is>
      </c>
      <c r="D27" s="6" t="inlineStr">
        <is>
          <t>Bản sản xuất</t>
        </is>
      </c>
    </row>
    <row r="28"/>
    <row r="29">
      <c r="A29" s="12" t="inlineStr">
        <is>
          <t>Hai con số 4,9% ở bảng trên đo hai thứ khác nhau: một là tốc độ tăng thu nhập thực, một là mức lạm phát của hộ thu nhập thấp; trùng nhau là ngẫu nhiên.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30" customWidth="1" min="1" max="1"/>
    <col width="30" customWidth="1" min="2" max="2"/>
    <col width="10" customWidth="1" min="3" max="3"/>
    <col width="9" customWidth="1" min="4" max="4"/>
    <col width="8" customWidth="1" min="5" max="5"/>
    <col width="11" customWidth="1" min="6" max="6"/>
    <col width="26" customWidth="1" min="7" max="7"/>
    <col width="10" customWidth="1" min="8" max="8"/>
    <col width="9" customWidth="1" min="9" max="9"/>
    <col width="8" customWidth="1" min="10" max="10"/>
    <col width="11" customWidth="1" min="11" max="11"/>
    <col width="20" customWidth="1" min="12" max="12"/>
    <col width="14" customWidth="1" min="13" max="13"/>
    <col width="32" customWidth="1" min="14" max="14"/>
  </cols>
  <sheetData>
    <row r="1" ht="34" customHeight="1">
      <c r="B1" s="1" t="inlineStr">
        <is>
          <t>Điều gì sẽ làm sai kết luận: nhập số mới vào cột nền kem, cột Kết quả tự báo</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Kết luận đang dùng</t>
        </is>
      </c>
      <c r="B5" s="4" t="inlineStr">
        <is>
          <t>Chỉ báo chính</t>
        </is>
      </c>
      <c r="C5" s="4" t="inlineStr">
        <is>
          <t>Hiện tại</t>
        </is>
      </c>
      <c r="D5" s="4" t="inlineStr">
        <is>
          <t>Ngưỡng</t>
        </is>
      </c>
      <c r="E5" s="4" t="inlineStr">
        <is>
          <t>Sai khi</t>
        </is>
      </c>
      <c r="F5" s="4" t="inlineStr">
        <is>
          <t>Số mới (nhập)</t>
        </is>
      </c>
      <c r="G5" s="4" t="inlineStr">
        <is>
          <t>Chỉ báo đi kèm</t>
        </is>
      </c>
      <c r="H5" s="4" t="inlineStr">
        <is>
          <t>Hiện tại</t>
        </is>
      </c>
      <c r="I5" s="4" t="inlineStr">
        <is>
          <t>Ngưỡng</t>
        </is>
      </c>
      <c r="J5" s="4" t="inlineStr">
        <is>
          <t>Sai khi</t>
        </is>
      </c>
      <c r="K5" s="4" t="inlineStr">
        <is>
          <t>Số mới (nhập)</t>
        </is>
      </c>
      <c r="L5" s="4" t="inlineStr">
        <is>
          <t>Kết quả</t>
        </is>
      </c>
      <c r="M5" s="4" t="inlineStr">
        <is>
          <t>Ngày có số</t>
        </is>
      </c>
      <c r="N5" s="4" t="inlineStr">
        <is>
          <t>Nếu chạm ngưỡng</t>
        </is>
      </c>
    </row>
    <row r="6" ht="44" customHeight="1">
      <c r="A6" s="13" t="inlineStr">
        <is>
          <t>Đơn hàng còn giữ nhịp nhà máy FDI và xuất khẩu</t>
        </is>
      </c>
      <c r="B6" s="6" t="inlineStr">
        <is>
          <t>PMI sản xuất</t>
        </is>
      </c>
      <c r="C6" s="44" t="n">
        <v>51.9</v>
      </c>
      <c r="D6" s="32" t="n">
        <v>50</v>
      </c>
      <c r="E6" s="45" t="inlineStr">
        <is>
          <t>Dưới</t>
        </is>
      </c>
      <c r="F6" s="32" t="n"/>
      <c r="L6" s="46">
        <f>IF(F6="","Chờ số",IF(AND(IF(E6="Dưới",F6&lt;D6,F6&gt;D6),TRUE),"Đã chạm: kết luận sai","Kết luận còn đứng"))</f>
        <v/>
      </c>
      <c r="M6" s="47" t="inlineStr">
        <is>
          <t>02/11/2026</t>
        </is>
      </c>
      <c r="N6" s="6" t="inlineStr">
        <is>
          <t>Nâng xác suất kịch bản tiêu cực lên khoảng 35–40%</t>
        </is>
      </c>
    </row>
    <row r="7" ht="44" customHeight="1">
      <c r="A7" s="13" t="inlineStr">
        <is>
          <t>Một phần 9,95% đang nằm trong kho</t>
        </is>
      </c>
      <c r="B7" s="6" t="inlineStr">
        <is>
          <t>Tồn kho chế biến so cùng kỳ (%)</t>
        </is>
      </c>
      <c r="C7" s="44" t="n">
        <v>11.9</v>
      </c>
      <c r="D7" s="32" t="n">
        <v>8</v>
      </c>
      <c r="E7" s="45" t="inlineStr">
        <is>
          <t>Dưới</t>
        </is>
      </c>
      <c r="F7" s="32" t="n"/>
      <c r="G7" s="6" t="inlineStr">
        <is>
          <t>Tiêu thụ chế biến so cùng kỳ (%)</t>
        </is>
      </c>
      <c r="H7" s="44" t="n">
        <v>17.8</v>
      </c>
      <c r="I7" s="32" t="n">
        <v>15</v>
      </c>
      <c r="J7" s="45" t="inlineStr">
        <is>
          <t>Trên</t>
        </is>
      </c>
      <c r="K7" s="32" t="n"/>
      <c r="L7" s="46">
        <f>IF(F7="","Chờ số",IF(AND(IF(E7="Dưới",F7&lt;D7,F7&gt;D7),IF(K7="",FALSE,IF(J7="Dưới",K7&lt;I7,K7&gt;I7))),"Đã chạm: kết luận sai","Kết luận còn đứng"))</f>
        <v/>
      </c>
      <c r="M7" s="47" t="inlineStr">
        <is>
          <t>06/11/2026</t>
        </is>
      </c>
      <c r="N7" s="6" t="inlineStr">
        <is>
          <t>Rủi ro điều chỉnh tồn kho nhỏ hơn đánh giá, nghiêng tích cực</t>
        </is>
      </c>
    </row>
    <row r="8" ht="44" customHeight="1">
      <c r="A8" s="13" t="inlineStr">
        <is>
          <t>Đầu tư công là động cơ chính quý IV</t>
        </is>
      </c>
      <c r="B8" s="6" t="inlineStr">
        <is>
          <t>Vốn ngân sách thực hiện trong tháng (nghìn tỷ; hiện tại = bình quân 9 tháng)</t>
        </is>
      </c>
      <c r="C8" s="44" t="n">
        <v>73.5</v>
      </c>
      <c r="D8" s="32" t="n">
        <v>100</v>
      </c>
      <c r="E8" s="45" t="inlineStr">
        <is>
          <t>Dưới</t>
        </is>
      </c>
      <c r="F8" s="32" t="n"/>
      <c r="L8" s="46">
        <f>IF(F8="","Chờ số",IF(AND(IF(E8="Dưới",F8&lt;D8,F8&gt;D8),TRUE),"Đã chạm: kết luận sai","Kết luận còn đứng"))</f>
        <v/>
      </c>
      <c r="M8" s="47" t="inlineStr">
        <is>
          <t>06/11/2026</t>
        </is>
      </c>
      <c r="N8" s="6" t="inlineStr">
        <is>
          <t>Quý IV khó giữ 11–11,5%, nghiêng tiêu cực</t>
        </is>
      </c>
    </row>
    <row r="9" ht="44" customHeight="1">
      <c r="A9" s="13" t="inlineStr">
        <is>
          <t>Sức mua số đông yếu</t>
        </is>
      </c>
      <c r="B9" s="6" t="inlineStr">
        <is>
          <t>Bán lẻ thực so cùng kỳ (%; hiện tại = quý III ước)</t>
        </is>
      </c>
      <c r="C9" s="44" t="n">
        <v>8.75</v>
      </c>
      <c r="D9" s="32" t="n">
        <v>10</v>
      </c>
      <c r="E9" s="45" t="inlineStr">
        <is>
          <t>Trên</t>
        </is>
      </c>
      <c r="F9" s="32" t="n"/>
      <c r="G9" s="6" t="inlineStr">
        <is>
          <t>CPI so cùng kỳ (%)</t>
        </is>
      </c>
      <c r="H9" s="44" t="n">
        <v>5.08</v>
      </c>
      <c r="I9" s="32" t="n">
        <v>4.5</v>
      </c>
      <c r="J9" s="45" t="inlineStr">
        <is>
          <t>Dưới</t>
        </is>
      </c>
      <c r="K9" s="32" t="n"/>
      <c r="L9" s="46">
        <f>IF(F9="","Chờ số",IF(AND(IF(E9="Dưới",F9&lt;D9,F9&gt;D9),IF(K9="",FALSE,IF(J9="Dưới",K9&lt;I9,K9&gt;I9))),"Đã chạm: kết luận sai","Kết luận còn đứng"))</f>
        <v/>
      </c>
      <c r="M9" s="47" t="inlineStr">
        <is>
          <t>06/11/2026</t>
        </is>
      </c>
      <c r="N9" s="6" t="inlineStr">
        <is>
          <t>Tiêu dùng mạnh hơn đánh giá, nâng xác suất tích cực</t>
        </is>
      </c>
    </row>
    <row r="10" ht="44" customHeight="1">
      <c r="A10" s="13" t="inlineStr">
        <is>
          <t>Lạm phát chưa buộc nâng lãi suất</t>
        </is>
      </c>
      <c r="B10" s="6" t="inlineStr">
        <is>
          <t>CPI tháng 10 so cùng kỳ (%)</t>
        </is>
      </c>
      <c r="C10" s="44" t="n">
        <v>5.08</v>
      </c>
      <c r="D10" s="32" t="n">
        <v>5.5</v>
      </c>
      <c r="E10" s="45" t="inlineStr">
        <is>
          <t>Trên</t>
        </is>
      </c>
      <c r="F10" s="32" t="n"/>
      <c r="G10" s="6" t="inlineStr">
        <is>
          <t>CPI tháng 11 so cùng kỳ (%)</t>
        </is>
      </c>
      <c r="H10" s="44" t="n">
        <v>5.08</v>
      </c>
      <c r="I10" s="32" t="n">
        <v>5.5</v>
      </c>
      <c r="J10" s="45" t="inlineStr">
        <is>
          <t>Trên</t>
        </is>
      </c>
      <c r="K10" s="32" t="n"/>
      <c r="L10" s="46">
        <f>IF(F10="","Chờ số",IF(AND(IF(E10="Dưới",F10&lt;D10,F10&gt;D10),IF(K10="",FALSE,IF(J10="Dưới",K10&lt;I10,K10&gt;I10))),"Đã chạm: kết luận sai","Kết luận còn đứng"))</f>
        <v/>
      </c>
      <c r="M10" s="47" t="inlineStr">
        <is>
          <t>06/11 và 06/12/2026</t>
        </is>
      </c>
      <c r="N10" s="6" t="inlineStr">
        <is>
          <t>Tiền tệ thắt lại, hạ triển vọng đầu tư và định giá</t>
        </is>
      </c>
    </row>
    <row r="11" ht="44" customHeight="1">
      <c r="A11" s="13" t="inlineStr">
        <is>
          <t>Nên giữ tư thế phòng thủ</t>
        </is>
      </c>
      <c r="B11" s="6" t="inlineStr">
        <is>
          <t>Lãi suất qua đêm liên ngân hàng (%)</t>
        </is>
      </c>
      <c r="C11" s="44" t="n">
        <v>4.29</v>
      </c>
      <c r="D11" s="32" t="n">
        <v>4</v>
      </c>
      <c r="E11" s="45" t="inlineStr">
        <is>
          <t>Dưới</t>
        </is>
      </c>
      <c r="F11" s="32" t="n"/>
      <c r="G11" s="6" t="inlineStr">
        <is>
          <t>Tỷ giá trung tâm so cuối 2025 (%)</t>
        </is>
      </c>
      <c r="H11" s="44" t="n">
        <v>2.01</v>
      </c>
      <c r="I11" s="32" t="n">
        <v>2</v>
      </c>
      <c r="J11" s="45" t="inlineStr">
        <is>
          <t>Dưới</t>
        </is>
      </c>
      <c r="K11" s="32" t="n"/>
      <c r="L11" s="46">
        <f>IF(F11="","Chờ số",IF(AND(IF(E11="Dưới",F11&lt;D11,F11&gt;D11),IF(K11="",FALSE,IF(J11="Dưới",K11&lt;I11,K11&gt;I11))),"Đã chạm: kết luận sai","Kết luận còn đứng"))</f>
        <v/>
      </c>
      <c r="M11" s="47" t="inlineStr">
        <is>
          <t>Hằng ngày</t>
        </is>
      </c>
      <c r="N11" s="6" t="inlineStr">
        <is>
          <t>Nâng tỷ trọng cổ phiếu sớm hơn kế hoạch</t>
        </is>
      </c>
    </row>
    <row r="12" ht="44" customHeight="1">
      <c r="A12" s="13" t="inlineStr">
        <is>
          <t>Cả năm khoảng 9,6%, khó đạt 10%</t>
        </is>
      </c>
      <c r="B12" s="6" t="inlineStr">
        <is>
          <t>GDP quý IV (%; hiện tại = quý III)</t>
        </is>
      </c>
      <c r="C12" s="44" t="n">
        <v>9.949999999999999</v>
      </c>
      <c r="D12" s="32" t="n">
        <v>12.3</v>
      </c>
      <c r="E12" s="45" t="inlineStr">
        <is>
          <t>Trên</t>
        </is>
      </c>
      <c r="F12" s="32" t="n"/>
      <c r="L12" s="46">
        <f>IF(F12="","Chờ số",IF(AND(IF(E12="Dưới",F12&lt;D12,F12&gt;D12),TRUE),"Đã chạm: kết luận sai","Kết luận còn đứng"))</f>
        <v/>
      </c>
      <c r="M12" s="47" t="inlineStr">
        <is>
          <t>06/01/2027</t>
        </is>
      </c>
      <c r="N12" s="6" t="inlineStr">
        <is>
          <t>Xem lại giả định năng suất và tồn kho</t>
        </is>
      </c>
    </row>
    <row r="13"/>
    <row r="14">
      <c r="A14" s="36" t="inlineStr">
        <is>
          <t>Kết luận chỉ bị coi là sai khi chỉ báo chính chạm ngưỡng và, nếu có, chỉ báo đi kèm cũng chạm ngưỡng. Ngưỡng là đánh giá của TVN &amp; Partners, sửa ô nền kem để thử.</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5" customWidth="1" min="9" max="9"/>
    <col width="15" customWidth="1" min="10" max="10"/>
    <col width="16" customWidth="1" min="11" max="11"/>
  </cols>
  <sheetData>
    <row r="1" ht="34" customHeight="1">
      <c r="B1" s="1" t="inlineStr">
        <is>
          <t>Tốc độ và đóng góp theo khu vực: quý III và 9 tháng 2026</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7" t="inlineStr">
        <is>
          <t>GDP quý III/2026 (%)</t>
        </is>
      </c>
      <c r="B5" s="8" t="n">
        <v>9.949999999999999</v>
      </c>
    </row>
    <row r="6">
      <c r="A6" s="7" t="inlineStr">
        <is>
          <t>GDP 9 tháng 2026 (%)</t>
        </is>
      </c>
      <c r="B6" s="8" t="n">
        <v>9.01</v>
      </c>
    </row>
    <row r="7">
      <c r="A7" s="7" t="inlineStr">
        <is>
          <t>GDP quý III/2025 (%)</t>
        </is>
      </c>
      <c r="B7" s="8" t="n">
        <v>8.23</v>
      </c>
    </row>
    <row r="8">
      <c r="A8" s="7" t="inlineStr">
        <is>
          <t>Thuế sản phẩm trừ trợ cấp, điểm % (TVN ước): quý III/2026 | 9 tháng | quý III/2025</t>
        </is>
      </c>
      <c r="B8" s="8" t="n">
        <v>0.63</v>
      </c>
      <c r="C8" s="8" t="n">
        <v>0.5600000000000001</v>
      </c>
      <c r="D8" s="8">
        <f>0.0803*B7</f>
        <v/>
      </c>
    </row>
    <row r="9">
      <c r="A9" s="4" t="inlineStr">
        <is>
          <t>Khu vực</t>
        </is>
      </c>
      <c r="B9" s="4" t="inlineStr">
        <is>
          <t>Tăng quý III/2026 (%)</t>
        </is>
      </c>
      <c r="C9" s="4" t="inlineStr">
        <is>
          <t>Đóng góp quý III (%)</t>
        </is>
      </c>
      <c r="D9" s="4" t="inlineStr">
        <is>
          <t>Điểm % quý III (TVN)</t>
        </is>
      </c>
      <c r="E9" s="4" t="inlineStr">
        <is>
          <t>Tăng 9 tháng (%)</t>
        </is>
      </c>
      <c r="F9" s="4" t="inlineStr">
        <is>
          <t>Đóng góp 9 tháng (%)</t>
        </is>
      </c>
      <c r="G9" s="4" t="inlineStr">
        <is>
          <t>Điểm % 9 tháng (TVN)</t>
        </is>
      </c>
      <c r="H9" s="4" t="inlineStr">
        <is>
          <t>Tăng quý III/2025 (%)</t>
        </is>
      </c>
      <c r="I9" s="4" t="inlineStr">
        <is>
          <t>Đóng góp quý III/2025 (%)</t>
        </is>
      </c>
      <c r="J9" s="4" t="inlineStr">
        <is>
          <t>Điểm % quý III/2025 (TVN)</t>
        </is>
      </c>
      <c r="K9" s="4" t="inlineStr">
        <is>
          <t>Đổi đóng góp quý III (điểm)</t>
        </is>
      </c>
    </row>
    <row r="10">
      <c r="A10" s="5" t="inlineStr">
        <is>
          <t>Nông, lâm nghiệp và thủy sản</t>
        </is>
      </c>
      <c r="B10" s="9" t="n">
        <v>4.21</v>
      </c>
      <c r="C10" s="9" t="n">
        <v>5.14</v>
      </c>
      <c r="D10" s="10">
        <f>C10*($B$5-$B$8)/100</f>
        <v/>
      </c>
      <c r="E10" s="9" t="n">
        <v>4.02</v>
      </c>
      <c r="F10" s="9" t="n">
        <v>5.35</v>
      </c>
      <c r="G10" s="10">
        <f>F10*($B$6-$C$8)/100</f>
        <v/>
      </c>
      <c r="H10" s="9" t="n">
        <v>3.74</v>
      </c>
      <c r="I10" s="9" t="n">
        <v>5.04</v>
      </c>
      <c r="J10" s="10">
        <f>I10*($B$7-$D$8)/100</f>
        <v/>
      </c>
      <c r="K10" s="10">
        <f>C10-I10</f>
        <v/>
      </c>
    </row>
    <row r="11">
      <c r="A11" s="5" t="inlineStr">
        <is>
          <t>Công nghiệp và xây dựng</t>
        </is>
      </c>
      <c r="B11" s="9" t="n">
        <v>12.5</v>
      </c>
      <c r="C11" s="9" t="n">
        <v>51.57</v>
      </c>
      <c r="D11" s="10">
        <f>C11*($B$5-$B$8)/100</f>
        <v/>
      </c>
      <c r="E11" s="9" t="n">
        <v>11.21</v>
      </c>
      <c r="F11" s="9" t="n">
        <v>49.62</v>
      </c>
      <c r="G11" s="10">
        <f>F11*($B$6-$C$8)/100</f>
        <v/>
      </c>
      <c r="H11" s="9" t="n">
        <v>9.460000000000001</v>
      </c>
      <c r="I11" s="9" t="n">
        <v>46.41</v>
      </c>
      <c r="J11" s="10">
        <f>I11*($B$7-$D$8)/100</f>
        <v/>
      </c>
      <c r="K11" s="10">
        <f>C11-I11</f>
        <v/>
      </c>
    </row>
    <row r="12">
      <c r="A12" s="5" t="inlineStr">
        <is>
          <t>Dịch vụ</t>
        </is>
      </c>
      <c r="B12" s="9" t="n">
        <v>9.539999999999999</v>
      </c>
      <c r="C12" s="9" t="n">
        <v>43.29</v>
      </c>
      <c r="D12" s="10">
        <f>C12*($B$5-$B$8)/100</f>
        <v/>
      </c>
      <c r="E12" s="9" t="n">
        <v>8.69</v>
      </c>
      <c r="F12" s="9" t="n">
        <v>45.03</v>
      </c>
      <c r="G12" s="10">
        <f>F12*($B$6-$C$8)/100</f>
        <v/>
      </c>
      <c r="H12" s="9" t="n">
        <v>8.56</v>
      </c>
      <c r="I12" s="9" t="n">
        <v>48.55</v>
      </c>
      <c r="J12" s="10">
        <f>I12*($B$7-$D$8)/100</f>
        <v/>
      </c>
      <c r="K12" s="10">
        <f>C12-I12</f>
        <v/>
      </c>
    </row>
    <row r="13">
      <c r="A13" s="5" t="inlineStr">
        <is>
          <t>Thuế sản phẩm trừ trợ cấp (TVN ước)</t>
        </is>
      </c>
      <c r="D13" s="10">
        <f>$B$8</f>
        <v/>
      </c>
      <c r="G13" s="10">
        <f>$C$8</f>
        <v/>
      </c>
      <c r="J13" s="10">
        <f>$D$8</f>
        <v/>
      </c>
    </row>
    <row r="14">
      <c r="A14" s="5" t="inlineStr">
        <is>
          <t>GDP (kiểm tra tổng)</t>
        </is>
      </c>
      <c r="B14" s="11">
        <f>B5</f>
        <v/>
      </c>
      <c r="C14" s="11">
        <f>SUM(C10:C12)</f>
        <v/>
      </c>
      <c r="D14" s="11">
        <f>SUM(D10:D13)</f>
        <v/>
      </c>
      <c r="E14" s="11">
        <f>B6</f>
        <v/>
      </c>
      <c r="F14" s="11">
        <f>SUM(F10:F12)</f>
        <v/>
      </c>
      <c r="G14" s="11">
        <f>SUM(G10:G13)</f>
        <v/>
      </c>
      <c r="H14" s="11">
        <f>B7</f>
        <v/>
      </c>
      <c r="I14" s="11">
        <f>SUM(I10:I12)</f>
        <v/>
      </c>
      <c r="J14" s="11">
        <f>SUM(J10:J13)</f>
        <v/>
      </c>
    </row>
    <row r="15"/>
    <row r="16">
      <c r="A16" s="12" t="inlineStr">
        <is>
          <t>Nguồn: Cục Thống kê (03/10/2026 và 06/10/2025). Đóng góp tính bằng % mức tăng tổng giá trị tăng thêm. Điểm % trong mức tăng GDP do TVN quy đổi: tỷ lệ đóng góp nhân phần tăng trưởng còn lại sau khi tách thuế sản phẩm trừ trợ cấp (khoảng 0,63 điểm quý III, 0,56 điểm 9 tháng, ước theo tỷ trọng khoảng 8% GDP).</t>
        </is>
      </c>
    </row>
    <row r="17">
      <c r="A17" s="12" t="inlineStr">
        <is>
          <t>Tỷ lệ đóng góp của ba khu vực cộng đủ 100% mức tăng tổng giá trị tăng thêm (Cục Thống kê). Điểm % quy ra GDP sau khi tách thuế sản phẩm trừ trợ cấp (ô B8:D8, TVN ước; quý III/2025 giả định thuế tăng cùng nhịp GDP); cột điểm % cộng cả thuế đúng bằng tốc độ GDP.</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24" customWidth="1" min="1" max="1"/>
    <col width="20" customWidth="1" min="2" max="2"/>
    <col width="26" customWidth="1" min="3" max="3"/>
  </cols>
  <sheetData>
    <row r="1" ht="34" customHeight="1">
      <c r="B1" s="1" t="inlineStr">
        <is>
          <t>Tốc độ GDP theo quý 2026</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Quý</t>
        </is>
      </c>
      <c r="B5" s="4" t="inlineStr">
        <is>
          <t>Tăng so cùng kỳ (%)</t>
        </is>
      </c>
      <c r="C5" s="4" t="inlineStr">
        <is>
          <t>Chênh với quý trước (điểm)</t>
        </is>
      </c>
    </row>
    <row r="6">
      <c r="A6" s="5" t="inlineStr">
        <is>
          <t>Quý I/2026</t>
        </is>
      </c>
      <c r="B6" s="9" t="n">
        <v>8.15</v>
      </c>
      <c r="C6" s="10" t="inlineStr">
        <is>
          <t>–</t>
        </is>
      </c>
    </row>
    <row r="7">
      <c r="A7" s="5" t="inlineStr">
        <is>
          <t>Quý II/2026</t>
        </is>
      </c>
      <c r="B7" s="9" t="n">
        <v>8.81</v>
      </c>
      <c r="C7" s="10">
        <f>B7-B6</f>
        <v/>
      </c>
    </row>
    <row r="8">
      <c r="A8" s="5" t="inlineStr">
        <is>
          <t>Quý III/2026</t>
        </is>
      </c>
      <c r="B8" s="9" t="n">
        <v>9.949999999999999</v>
      </c>
      <c r="C8" s="10">
        <f>B8-B7</f>
        <v/>
      </c>
    </row>
    <row r="9"/>
    <row r="10">
      <c r="A10" s="12" t="inlineStr">
        <is>
          <t>Quý II/2026 đã được Cục Thống kê điều chỉnh từ 8,39% lên 8,81% trong báo cáo ngày 03/10/2026.</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46" customWidth="1" min="1" max="1"/>
    <col width="9" customWidth="1" min="2" max="2"/>
    <col width="14" customWidth="1" min="3" max="3"/>
    <col width="14" customWidth="1" min="4" max="4"/>
    <col width="14" customWidth="1" min="5" max="5"/>
    <col width="14" customWidth="1" min="6" max="6"/>
    <col width="14" customWidth="1" min="7" max="7"/>
    <col width="14" customWidth="1" min="8" max="8"/>
    <col width="15" customWidth="1" min="9" max="9"/>
  </cols>
  <sheetData>
    <row r="1" ht="34" customHeight="1">
      <c r="B1" s="1" t="inlineStr">
        <is>
          <t>Ngành con: tốc độ và đóng góp 9 tháng 2026 so 2025</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7" t="inlineStr">
        <is>
          <t>GDP 9 tháng 2026 (%)</t>
        </is>
      </c>
      <c r="B5" s="8" t="n">
        <v>9.01</v>
      </c>
      <c r="C5" t="inlineStr">
        <is>
          <t>Thuế sản phẩm, điểm (TVN ước)</t>
        </is>
      </c>
      <c r="D5" s="8" t="n">
        <v>0.5600000000000001</v>
      </c>
    </row>
    <row r="6">
      <c r="A6" s="7" t="inlineStr">
        <is>
          <t>GDP 9 tháng 2025 (%)</t>
        </is>
      </c>
      <c r="B6" s="8" t="n">
        <v>7.85</v>
      </c>
      <c r="C6" t="inlineStr">
        <is>
          <t>Thuế sản phẩm, điểm (giả định cùng nhịp GDP)</t>
        </is>
      </c>
      <c r="D6" s="8">
        <f>0.0803*B6</f>
        <v/>
      </c>
    </row>
    <row r="7"/>
    <row r="8">
      <c r="A8" s="4" t="inlineStr">
        <is>
          <t>Ngành</t>
        </is>
      </c>
      <c r="B8" s="4" t="inlineStr">
        <is>
          <t>Khu vực</t>
        </is>
      </c>
      <c r="C8" s="4" t="inlineStr">
        <is>
          <t>Tăng 9 tháng/2026 (%)</t>
        </is>
      </c>
      <c r="D8" s="4" t="inlineStr">
        <is>
          <t>Đóng góp 2026 (%)</t>
        </is>
      </c>
      <c r="E8" s="4" t="inlineStr">
        <is>
          <t>Điểm % 2026 (TVN)</t>
        </is>
      </c>
      <c r="F8" s="4" t="inlineStr">
        <is>
          <t>Tăng 9 tháng/2025 (%)</t>
        </is>
      </c>
      <c r="G8" s="4" t="inlineStr">
        <is>
          <t>Đóng góp 2025 (%)</t>
        </is>
      </c>
      <c r="H8" s="4" t="inlineStr">
        <is>
          <t>Điểm % 2025 (TVN)</t>
        </is>
      </c>
      <c r="I8" s="4" t="inlineStr">
        <is>
          <t>Đổi đóng góp (điểm)</t>
        </is>
      </c>
    </row>
    <row r="9">
      <c r="A9" s="13" t="inlineStr">
        <is>
          <t>Chế biến, chế tạo</t>
        </is>
      </c>
      <c r="B9" s="14" t="inlineStr">
        <is>
          <t>CN-XD</t>
        </is>
      </c>
      <c r="C9" s="9" t="n">
        <v>11.36</v>
      </c>
      <c r="D9" s="9" t="n">
        <v>33.85</v>
      </c>
      <c r="E9" s="10">
        <f>D9*($B$5-$D$5)/100</f>
        <v/>
      </c>
      <c r="F9" s="9" t="n">
        <v>9.92</v>
      </c>
      <c r="G9" s="9" t="n">
        <v>31.73</v>
      </c>
      <c r="H9" s="10">
        <f>G9*($B$6-$D$6)/100</f>
        <v/>
      </c>
      <c r="I9" s="10">
        <f>D9-G9</f>
        <v/>
      </c>
    </row>
    <row r="10">
      <c r="A10" s="13" t="inlineStr">
        <is>
          <t>Khai khoáng, điện, nước (phần còn lại của công nghiệp)</t>
        </is>
      </c>
      <c r="B10" s="14" t="inlineStr">
        <is>
          <t>CN-XD</t>
        </is>
      </c>
      <c r="C10" s="9" t="inlineStr">
        <is>
          <t>–</t>
        </is>
      </c>
      <c r="D10" s="9" t="n">
        <v>7.54</v>
      </c>
      <c r="E10" s="10">
        <f>D10*($B$5-$D$5)/100</f>
        <v/>
      </c>
      <c r="F10" s="9" t="inlineStr">
        <is>
          <t>–</t>
        </is>
      </c>
      <c r="G10" s="9" t="n">
        <v>3.33</v>
      </c>
      <c r="H10" s="10">
        <f>G10*($B$6-$D$6)/100</f>
        <v/>
      </c>
      <c r="I10" s="10">
        <f>D10-G10</f>
        <v/>
      </c>
    </row>
    <row r="11">
      <c r="A11" s="13" t="inlineStr">
        <is>
          <t>Xây dựng</t>
        </is>
      </c>
      <c r="B11" s="14" t="inlineStr">
        <is>
          <t>CN-XD</t>
        </is>
      </c>
      <c r="C11" s="9" t="n">
        <v>12.22</v>
      </c>
      <c r="D11" s="9" t="n">
        <v>8.23</v>
      </c>
      <c r="E11" s="10">
        <f>D11*($B$5-$D$5)/100</f>
        <v/>
      </c>
      <c r="F11" s="9" t="n">
        <v>9.33</v>
      </c>
      <c r="G11" s="9" t="n">
        <v>7.99</v>
      </c>
      <c r="H11" s="10">
        <f>G11*($B$6-$D$6)/100</f>
        <v/>
      </c>
      <c r="I11" s="10">
        <f>D11-G11</f>
        <v/>
      </c>
    </row>
    <row r="12">
      <c r="A12" s="13" t="inlineStr">
        <is>
          <t>Bán buôn, bán lẻ</t>
        </is>
      </c>
      <c r="B12" s="14" t="inlineStr">
        <is>
          <t>DV</t>
        </is>
      </c>
      <c r="C12" s="9" t="n">
        <v>9.85</v>
      </c>
      <c r="D12" s="9" t="n">
        <v>11.99</v>
      </c>
      <c r="E12" s="10">
        <f>D12*($B$5-$D$5)/100</f>
        <v/>
      </c>
      <c r="F12" s="9" t="n">
        <v>8.279999999999999</v>
      </c>
      <c r="G12" s="9" t="n">
        <v>10.72</v>
      </c>
      <c r="H12" s="10">
        <f>G12*($B$6-$D$6)/100</f>
        <v/>
      </c>
      <c r="I12" s="10">
        <f>D12-G12</f>
        <v/>
      </c>
    </row>
    <row r="13">
      <c r="A13" s="13" t="inlineStr">
        <is>
          <t>Vận tải, kho bãi</t>
        </is>
      </c>
      <c r="B13" s="14" t="inlineStr">
        <is>
          <t>DV</t>
        </is>
      </c>
      <c r="C13" s="9" t="n">
        <v>11.03</v>
      </c>
      <c r="D13" s="9" t="n">
        <v>7.21</v>
      </c>
      <c r="E13" s="10">
        <f>D13*($B$5-$D$5)/100</f>
        <v/>
      </c>
      <c r="F13" s="9" t="n">
        <v>10.68</v>
      </c>
      <c r="G13" s="9" t="n">
        <v>8.92</v>
      </c>
      <c r="H13" s="10">
        <f>G13*($B$6-$D$6)/100</f>
        <v/>
      </c>
      <c r="I13" s="10">
        <f>D13-G13</f>
        <v/>
      </c>
    </row>
    <row r="14">
      <c r="A14" s="13" t="inlineStr">
        <is>
          <t>Tài chính, ngân hàng, bảo hiểm</t>
        </is>
      </c>
      <c r="B14" s="14" t="inlineStr">
        <is>
          <t>DV</t>
        </is>
      </c>
      <c r="C14" s="9" t="n">
        <v>9.449999999999999</v>
      </c>
      <c r="D14" s="9" t="n">
        <v>5.27</v>
      </c>
      <c r="E14" s="10">
        <f>D14*($B$5-$D$5)/100</f>
        <v/>
      </c>
      <c r="F14" s="9" t="n">
        <v>7.06</v>
      </c>
      <c r="G14" s="9" t="n">
        <v>5.16</v>
      </c>
      <c r="H14" s="10">
        <f>G14*($B$6-$D$6)/100</f>
        <v/>
      </c>
      <c r="I14" s="10">
        <f>D14-G14</f>
        <v/>
      </c>
    </row>
    <row r="15">
      <c r="A15" s="13" t="inlineStr">
        <is>
          <t>Lưu trú, ăn uống</t>
        </is>
      </c>
      <c r="B15" s="14" t="inlineStr">
        <is>
          <t>DV</t>
        </is>
      </c>
      <c r="C15" s="9" t="n">
        <v>8.83</v>
      </c>
      <c r="D15" s="9" t="n">
        <v>2.69</v>
      </c>
      <c r="E15" s="10">
        <f>D15*($B$5-$D$5)/100</f>
        <v/>
      </c>
      <c r="F15" s="9" t="n">
        <v>10.15</v>
      </c>
      <c r="G15" s="9" t="n">
        <v>3.5</v>
      </c>
      <c r="H15" s="10">
        <f>G15*($B$6-$D$6)/100</f>
        <v/>
      </c>
      <c r="I15" s="10">
        <f>D15-G15</f>
        <v/>
      </c>
    </row>
    <row r="16">
      <c r="A16" s="13" t="inlineStr">
        <is>
          <t>Dịch vụ khác (bất động sản, giáo dục, y tế, hành chính...)</t>
        </is>
      </c>
      <c r="B16" s="14" t="inlineStr">
        <is>
          <t>DV</t>
        </is>
      </c>
      <c r="C16" s="9" t="inlineStr">
        <is>
          <t>–</t>
        </is>
      </c>
      <c r="D16" s="9" t="n">
        <v>17.87</v>
      </c>
      <c r="E16" s="10">
        <f>D16*($B$5-$D$5)/100</f>
        <v/>
      </c>
      <c r="F16" s="9" t="inlineStr">
        <is>
          <t>–</t>
        </is>
      </c>
      <c r="G16" s="9" t="n">
        <v>23.29</v>
      </c>
      <c r="H16" s="10">
        <f>G16*($B$6-$D$6)/100</f>
        <v/>
      </c>
      <c r="I16" s="10">
        <f>D16-G16</f>
        <v/>
      </c>
    </row>
    <row r="17">
      <c r="A17" s="13" t="inlineStr">
        <is>
          <t>Nông nghiệp</t>
        </is>
      </c>
      <c r="B17" s="14" t="inlineStr">
        <is>
          <t>NLTS</t>
        </is>
      </c>
      <c r="C17" s="9" t="n">
        <v>3.72</v>
      </c>
      <c r="D17" s="9" t="n">
        <v>3.6</v>
      </c>
      <c r="E17" s="10">
        <f>D17*($B$5-$D$5)/100</f>
        <v/>
      </c>
      <c r="F17" s="9" t="n">
        <v>3.46</v>
      </c>
      <c r="G17" s="9" t="n">
        <v>3.52</v>
      </c>
      <c r="H17" s="10">
        <f>G17*($B$6-$D$6)/100</f>
        <v/>
      </c>
      <c r="I17" s="10">
        <f>D17-G17</f>
        <v/>
      </c>
    </row>
    <row r="18">
      <c r="A18" s="13" t="inlineStr">
        <is>
          <t>Lâm nghiệp</t>
        </is>
      </c>
      <c r="B18" s="14" t="inlineStr">
        <is>
          <t>NLTS</t>
        </is>
      </c>
      <c r="C18" s="9" t="n">
        <v>3.99</v>
      </c>
      <c r="D18" s="9" t="n">
        <v>0.25</v>
      </c>
      <c r="E18" s="10">
        <f>D18*($B$5-$D$5)/100</f>
        <v/>
      </c>
      <c r="F18" s="9" t="n">
        <v>6.46</v>
      </c>
      <c r="G18" s="9" t="n">
        <v>0.42</v>
      </c>
      <c r="H18" s="10">
        <f>G18*($B$6-$D$6)/100</f>
        <v/>
      </c>
      <c r="I18" s="10">
        <f>D18-G18</f>
        <v/>
      </c>
    </row>
    <row r="19">
      <c r="A19" s="13" t="inlineStr">
        <is>
          <t>Thủy sản</t>
        </is>
      </c>
      <c r="B19" s="14" t="inlineStr">
        <is>
          <t>NLTS</t>
        </is>
      </c>
      <c r="C19" s="9" t="n">
        <v>4.99</v>
      </c>
      <c r="D19" s="9" t="n">
        <v>1.5</v>
      </c>
      <c r="E19" s="10">
        <f>D19*($B$5-$D$5)/100</f>
        <v/>
      </c>
      <c r="F19" s="9" t="n">
        <v>4.48</v>
      </c>
      <c r="G19" s="9" t="n">
        <v>1.41</v>
      </c>
      <c r="H19" s="10">
        <f>G19*($B$6-$D$6)/100</f>
        <v/>
      </c>
      <c r="I19" s="10">
        <f>D19-G19</f>
        <v/>
      </c>
    </row>
    <row r="20">
      <c r="A20" s="5" t="inlineStr">
        <is>
          <t>Tổng các ngành (còn lại là thuế sản phẩm)</t>
        </is>
      </c>
      <c r="D20" s="11">
        <f>SUM(D9:D19)</f>
        <v/>
      </c>
      <c r="E20" s="11">
        <f>SUM(E9:E19)</f>
        <v/>
      </c>
      <c r="G20" s="11">
        <f>SUM(G9:G19)</f>
        <v/>
      </c>
      <c r="H20" s="11">
        <f>SUM(H9:H19)</f>
        <v/>
      </c>
    </row>
    <row r="21"/>
    <row r="22">
      <c r="A22" s="12" t="inlineStr">
        <is>
          <t>Nguồn: Cục Thống kê. Dòng 'khai khoáng, điện, nước' và 'dịch vụ khác' là phần còn lại do TVN tính từ số tổng của công nghiệp và dịch vụ, vì thông cáo chưa công bố riêng; điểm % quy đổi theo tốc độ GDP 9 tháng 9,01%.</t>
        </is>
      </c>
    </row>
    <row r="23">
      <c r="A23" s="12" t="inlineStr">
        <is>
          <t>Hai dòng "phần còn lại" do TVN suy ra bằng hiệu số giữa đóng góp khu vực và các ngành được công bố; Cục Thống kê chưa công bố đóng góp ngành con theo quý.</t>
        </is>
      </c>
    </row>
  </sheetData>
  <conditionalFormatting sqref="I9:I19">
    <cfRule type="cellIs" priority="1" operator="lessThan" dxfId="0">
      <formula>0</formula>
    </cfRule>
    <cfRule type="cellIs" priority="2" operator="greaterThanOrEqual" dxfId="1">
      <formula>0</formula>
    </cfRule>
  </conditionalFormatting>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ht="34" customHeight="1">
      <c r="B1" s="1" t="inlineStr">
        <is>
          <t>Cơ cấu nền kinh tế 9 tháng (giá hiện hành)</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Khu vực</t>
        </is>
      </c>
      <c r="B5" s="4" t="inlineStr">
        <is>
          <t>9 tháng/2026 (%)</t>
        </is>
      </c>
      <c r="C5" s="4" t="inlineStr">
        <is>
          <t>9 tháng/2025 (%)</t>
        </is>
      </c>
      <c r="D5" s="4" t="inlineStr">
        <is>
          <t>Thay đổi (điểm)</t>
        </is>
      </c>
    </row>
    <row r="6">
      <c r="A6" s="5" t="inlineStr">
        <is>
          <t>Nông, lâm, thủy sản</t>
        </is>
      </c>
      <c r="B6" s="9" t="n">
        <v>10.65</v>
      </c>
      <c r="C6" s="9" t="n">
        <v>11.33</v>
      </c>
      <c r="D6" s="10">
        <f>B6-C6</f>
        <v/>
      </c>
    </row>
    <row r="7">
      <c r="A7" s="5" t="inlineStr">
        <is>
          <t>Công nghiệp và xây dựng</t>
        </is>
      </c>
      <c r="B7" s="9" t="n">
        <v>38.35</v>
      </c>
      <c r="C7" s="9" t="n">
        <v>37.47</v>
      </c>
      <c r="D7" s="10">
        <f>B7-C7</f>
        <v/>
      </c>
    </row>
    <row r="8">
      <c r="A8" s="5" t="inlineStr">
        <is>
          <t>Dịch vụ</t>
        </is>
      </c>
      <c r="B8" s="9" t="n">
        <v>42.97</v>
      </c>
      <c r="C8" s="9" t="n">
        <v>43.05</v>
      </c>
      <c r="D8" s="10">
        <f>B8-C8</f>
        <v/>
      </c>
    </row>
    <row r="9">
      <c r="A9" s="5" t="inlineStr">
        <is>
          <t>Thuế sản phẩm trừ trợ cấp</t>
        </is>
      </c>
      <c r="B9" s="9" t="n">
        <v>8.029999999999999</v>
      </c>
      <c r="C9" s="9" t="n">
        <v>8.15</v>
      </c>
      <c r="D9" s="10">
        <f>B9-C9</f>
        <v/>
      </c>
    </row>
    <row r="10">
      <c r="A10" s="5" t="inlineStr">
        <is>
          <t>Tổng</t>
        </is>
      </c>
      <c r="B10" s="11">
        <f>SUM(B6:B9)</f>
        <v/>
      </c>
      <c r="C10" s="11">
        <f>SUM(C6:C9)</f>
        <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30" customWidth="1" min="1" max="1"/>
    <col width="18" customWidth="1" min="2" max="2"/>
    <col width="44" customWidth="1" min="3" max="3"/>
    <col width="22" customWidth="1" min="4" max="4"/>
    <col width="30" customWidth="1" min="5" max="5"/>
  </cols>
  <sheetData>
    <row r="1" ht="34" customHeight="1">
      <c r="B1" s="1" t="inlineStr">
        <is>
          <t>Kiểm chứng: giá trị tăng thêm so với chỉ báo hiện vật</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Chỉ tiêu</t>
        </is>
      </c>
      <c r="B5" s="4" t="inlineStr">
        <is>
          <t>Giá trị tăng thêm chế biến (%)</t>
        </is>
      </c>
      <c r="C5" s="4" t="inlineStr">
        <is>
          <t>IIP chế biến (%)</t>
        </is>
      </c>
      <c r="D5" s="4" t="inlineStr">
        <is>
          <t>Tỷ lệ chuyển hóa (lần)</t>
        </is>
      </c>
      <c r="E5" s="4" t="inlineStr">
        <is>
          <t>Khoảng cách (điểm)</t>
        </is>
      </c>
    </row>
    <row r="6">
      <c r="A6" s="5" t="inlineStr">
        <is>
          <t>Quý III/2026</t>
        </is>
      </c>
      <c r="B6" s="9" t="n">
        <v>12.28</v>
      </c>
      <c r="C6" s="15" t="n">
        <v>15.3</v>
      </c>
      <c r="D6" s="10">
        <f>B6/C6</f>
        <v/>
      </c>
      <c r="E6" s="10">
        <f>C6-B6</f>
        <v/>
      </c>
    </row>
    <row r="7">
      <c r="A7" s="5" t="inlineStr">
        <is>
          <t>9 tháng/2026</t>
        </is>
      </c>
      <c r="B7" s="9" t="n">
        <v>11.36</v>
      </c>
      <c r="C7" s="15" t="n">
        <v>12.9</v>
      </c>
      <c r="D7" s="10">
        <f>B7/C7</f>
        <v/>
      </c>
      <c r="E7" s="10">
        <f>C7-B7</f>
        <v/>
      </c>
    </row>
    <row r="8">
      <c r="A8" s="12" t="inlineStr">
        <is>
          <t>Tỷ lệ dưới 1 nghĩa là sản lượng tăng nhanh hơn giá trị giữ lại: phần nhập linh kiện và phần lợi nhuận về công ty mẹ nước ngoài lớn.</t>
        </is>
      </c>
    </row>
    <row r="9"/>
    <row r="10">
      <c r="A10" s="4" t="inlineStr">
        <is>
          <t>Ngành</t>
        </is>
      </c>
      <c r="B10" s="4" t="inlineStr">
        <is>
          <t>Giá trị tăng thêm</t>
        </is>
      </c>
      <c r="C10" s="4" t="inlineStr">
        <is>
          <t>Chỉ báo độc lập</t>
        </is>
      </c>
      <c r="D10" s="4" t="inlineStr">
        <is>
          <t>Chênh lệch</t>
        </is>
      </c>
      <c r="E10" s="4" t="inlineStr">
        <is>
          <t>Kết luận</t>
        </is>
      </c>
    </row>
    <row r="11">
      <c r="A11" s="13" t="inlineStr">
        <is>
          <t>Chế biến, chế tạo (quý III)</t>
        </is>
      </c>
      <c r="B11" s="6" t="inlineStr">
        <is>
          <t>+12,28%</t>
        </is>
      </c>
      <c r="C11" s="6" t="inlineStr">
        <is>
          <t>IIP chế biến +15,3%; tiêu thụ tháng 9 +17,8%; lao động +3,4%</t>
        </is>
      </c>
      <c r="D11" s="6" t="inlineStr">
        <is>
          <t>Sản lượng cao hơn 3,0 điểm</t>
        </is>
      </c>
      <c r="E11" s="16" t="inlineStr">
        <is>
          <t>Xác nhận, giá trị giữ lại mỏng</t>
        </is>
      </c>
    </row>
    <row r="12">
      <c r="A12" s="13" t="inlineStr">
        <is>
          <t>Chế biến, chế tạo (khảo sát)</t>
        </is>
      </c>
      <c r="B12" s="6" t="inlineStr">
        <is>
          <t>+12,28%</t>
        </is>
      </c>
      <c r="C12" s="6" t="inlineStr">
        <is>
          <t>PMI tháng 9: 51,9, đơn hàng xuất khẩu giảm</t>
        </is>
      </c>
      <c r="D12" s="6" t="inlineStr">
        <is>
          <t>Khảo sát yếu hơn</t>
        </is>
      </c>
      <c r="E12" s="13" t="inlineStr">
        <is>
          <t>Đà quý IV chậm lại</t>
        </is>
      </c>
    </row>
    <row r="13">
      <c r="A13" s="13" t="inlineStr">
        <is>
          <t>Điện</t>
        </is>
      </c>
      <c r="B13" s="6" t="inlineStr">
        <is>
          <t>Trong khối công nghiệp</t>
        </is>
      </c>
      <c r="C13" s="6" t="inlineStr">
        <is>
          <t>IIP điện quý III +12,8%</t>
        </is>
      </c>
      <c r="D13" s="6" t="inlineStr">
        <is>
          <t>Co giãn điện so GDP khoảng 1,3</t>
        </is>
      </c>
      <c r="E13" s="16" t="inlineStr">
        <is>
          <t>Xác nhận</t>
        </is>
      </c>
    </row>
    <row r="14">
      <c r="A14" s="13" t="inlineStr">
        <is>
          <t>Xây dựng (quý III)</t>
        </is>
      </c>
      <c r="B14" s="6" t="inlineStr">
        <is>
          <t>+14,22%</t>
        </is>
      </c>
      <c r="C14" s="6" t="inlineStr">
        <is>
          <t>Vốn ngân sách 9 tháng +19% (giá hiện hành); thép thanh +17,1%</t>
        </is>
      </c>
      <c r="D14" s="6" t="inlineStr">
        <is>
          <t>Khớp sau khi trừ giá</t>
        </is>
      </c>
      <c r="E14" s="16" t="inlineStr">
        <is>
          <t>Xác nhận</t>
        </is>
      </c>
    </row>
    <row r="15">
      <c r="A15" s="13" t="inlineStr">
        <is>
          <t>Vận tải, kho bãi</t>
        </is>
      </c>
      <c r="B15" s="6" t="inlineStr">
        <is>
          <t>+11,03%</t>
        </is>
      </c>
      <c r="C15" s="6" t="inlineStr">
        <is>
          <t>Hàng hóa vận chuyển +15,8%, luân chuyển +12,8%</t>
        </is>
      </c>
      <c r="D15" s="6" t="inlineStr">
        <is>
          <t>Khớp</t>
        </is>
      </c>
      <c r="E15" s="16" t="inlineStr">
        <is>
          <t>Xác nhận</t>
        </is>
      </c>
    </row>
    <row r="16">
      <c r="A16" s="13" t="inlineStr">
        <is>
          <t>Bán buôn, bán lẻ (9 tháng)</t>
        </is>
      </c>
      <c r="B16" s="6" t="inlineStr">
        <is>
          <t>+9,85%</t>
        </is>
      </c>
      <c r="C16" s="6" t="inlineStr">
        <is>
          <t>Bán lẻ thực 9 tháng +7,8%</t>
        </is>
      </c>
      <c r="D16" s="6" t="inlineStr">
        <is>
          <t>Cao hơn 2 điểm</t>
        </is>
      </c>
      <c r="E16" s="13" t="inlineStr">
        <is>
          <t>Phần bán buôn kéo lên</t>
        </is>
      </c>
    </row>
    <row r="17">
      <c r="A17" s="13" t="inlineStr">
        <is>
          <t>Lưu trú, ăn uống</t>
        </is>
      </c>
      <c r="B17" s="6" t="inlineStr">
        <is>
          <t>+8,83%</t>
        </is>
      </c>
      <c r="C17" s="6" t="inlineStr">
        <is>
          <t>Doanh thu +16,7%; khách quốc tế +14,5%</t>
        </is>
      </c>
      <c r="D17" s="6" t="inlineStr">
        <is>
          <t>Doanh thu cao hơn 7,9 điểm do giá</t>
        </is>
      </c>
      <c r="E17" s="13" t="inlineStr">
        <is>
          <t>Thận trọng về sức mua</t>
        </is>
      </c>
    </row>
    <row r="18">
      <c r="A18" s="13" t="inlineStr">
        <is>
          <t>Tài chính, ngân hàng</t>
        </is>
      </c>
      <c r="B18" s="6" t="inlineStr">
        <is>
          <t>+9,45%</t>
        </is>
      </c>
      <c r="C18" s="6" t="inlineStr">
        <is>
          <t>Tín dụng +16,69% so cùng kỳ</t>
        </is>
      </c>
      <c r="D18" s="6" t="inlineStr">
        <is>
          <t>Tín dụng nhanh hơn</t>
        </is>
      </c>
      <c r="E18" s="17" t="inlineStr">
        <is>
          <t>Hiệu quả vốn giảm</t>
        </is>
      </c>
    </row>
    <row r="19">
      <c r="A19" s="13" t="inlineStr">
        <is>
          <t>Nông nghiệp</t>
        </is>
      </c>
      <c r="B19" s="6" t="inlineStr">
        <is>
          <t>+3,72%</t>
        </is>
      </c>
      <c r="C19" s="6" t="inlineStr">
        <is>
          <t>Thịt lợn +4,4%, gia cầm +5,3%, lúa hè thu +0,6%</t>
        </is>
      </c>
      <c r="D19" s="6" t="inlineStr">
        <is>
          <t>Khớp</t>
        </is>
      </c>
      <c r="E19" s="16" t="inlineStr">
        <is>
          <t>Xác nhận</t>
        </is>
      </c>
    </row>
    <row r="20">
      <c r="A20" s="13" t="inlineStr">
        <is>
          <t>Thủy sản</t>
        </is>
      </c>
      <c r="B20" s="6" t="inlineStr">
        <is>
          <t>+4,99%</t>
        </is>
      </c>
      <c r="C20" s="6" t="inlineStr">
        <is>
          <t>Sản lượng +3,9%; nuôi trồng +5,9%</t>
        </is>
      </c>
      <c r="D20" s="6" t="inlineStr">
        <is>
          <t>Khớp</t>
        </is>
      </c>
      <c r="E20" s="16" t="inlineStr">
        <is>
          <t>Xác nhận</t>
        </is>
      </c>
    </row>
    <row r="21"/>
    <row r="22">
      <c r="A22" s="12" t="inlineStr">
        <is>
          <t>Nguồn: Cục Thống kê (03/10/2026), S&amp;P Global (01/10/2026), Ngân hàng Nhà nước (07/10/2026); chênh lệch do TVN tính.</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8" customWidth="1" min="1" max="1"/>
    <col width="18" customWidth="1" min="2" max="2"/>
    <col width="16" customWidth="1" min="3" max="3"/>
    <col width="16" customWidth="1" min="4" max="4"/>
    <col width="14" customWidth="1" min="5" max="5"/>
    <col width="18" customWidth="1" min="6" max="6"/>
    <col width="16" customWidth="1" min="7" max="7"/>
    <col width="16" customWidth="1" min="8" max="8"/>
    <col width="16" customWidth="1" min="9" max="9"/>
  </cols>
  <sheetData>
    <row r="1" ht="34" customHeight="1">
      <c r="B1" s="1" t="inlineStr">
        <is>
          <t>Năng suất, việc làm và thu nhập theo khu vực quý III/2026</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Khu vực</t>
        </is>
      </c>
      <c r="B5" s="4" t="inlineStr">
        <is>
          <t>Tăng giá trị tăng thêm quý III (%)</t>
        </is>
      </c>
      <c r="C5" s="4" t="inlineStr">
        <is>
          <t>Lao động quý III (nghìn người)</t>
        </is>
      </c>
      <c r="D5" s="4" t="inlineStr">
        <is>
          <t>Tăng so cùng kỳ (nghìn người)</t>
        </is>
      </c>
      <c r="E5" s="4" t="inlineStr">
        <is>
          <t>Tăng việc làm (%)</t>
        </is>
      </c>
      <c r="F5" s="4" t="inlineStr">
        <is>
          <t>Năng suất lao động (%, TVN)</t>
        </is>
      </c>
      <c r="G5" s="4" t="inlineStr">
        <is>
          <t>Thu nhập tháng (triệu đồng)</t>
        </is>
      </c>
      <c r="H5" s="4" t="inlineStr">
        <is>
          <t>Thu nhập so quý II (%)</t>
        </is>
      </c>
      <c r="I5" s="4" t="inlineStr">
        <is>
          <t>Lao động phi chính thức (%)</t>
        </is>
      </c>
    </row>
    <row r="6">
      <c r="A6" s="5" t="inlineStr">
        <is>
          <t>Nông, lâm, thủy sản</t>
        </is>
      </c>
      <c r="B6" s="9" t="n">
        <v>4.21</v>
      </c>
      <c r="C6" s="18" t="n">
        <v>13300</v>
      </c>
      <c r="D6" s="15" t="n">
        <v>-38</v>
      </c>
      <c r="E6" s="10">
        <f>D6/(C6-D6)*100</f>
        <v/>
      </c>
      <c r="F6" s="10">
        <f>((1+B6/100)/(1+E6/100)-1)*100</f>
        <v/>
      </c>
      <c r="G6" s="15" t="n">
        <v>5.4</v>
      </c>
      <c r="H6" s="15" t="n">
        <v>-1.4</v>
      </c>
      <c r="I6" s="15" t="n">
        <v>98.7</v>
      </c>
    </row>
    <row r="7">
      <c r="A7" s="5" t="inlineStr">
        <is>
          <t>Công nghiệp và xây dựng</t>
        </is>
      </c>
      <c r="B7" s="9" t="n">
        <v>12.5</v>
      </c>
      <c r="C7" s="18" t="n">
        <v>18000</v>
      </c>
      <c r="D7" s="15" t="n">
        <v>394.1</v>
      </c>
      <c r="E7" s="10">
        <f>D7/(C7-D7)*100</f>
        <v/>
      </c>
      <c r="F7" s="10">
        <f>((1+B7/100)/(1+E7/100)-1)*100</f>
        <v/>
      </c>
      <c r="G7" s="15" t="n">
        <v>9.9</v>
      </c>
      <c r="H7" s="15" t="n">
        <v>2</v>
      </c>
      <c r="I7" s="15" t="n">
        <v>41.9</v>
      </c>
    </row>
    <row r="8">
      <c r="A8" s="5" t="inlineStr">
        <is>
          <t>Dịch vụ</t>
        </is>
      </c>
      <c r="B8" s="9" t="n">
        <v>9.539999999999999</v>
      </c>
      <c r="C8" s="18" t="n">
        <v>21700</v>
      </c>
      <c r="D8" s="15" t="n">
        <v>350.4</v>
      </c>
      <c r="E8" s="10">
        <f>D8/(C8-D8)*100</f>
        <v/>
      </c>
      <c r="F8" s="10">
        <f>((1+B8/100)/(1+E8/100)-1)*100</f>
        <v/>
      </c>
      <c r="G8" s="15" t="n">
        <v>10.9</v>
      </c>
      <c r="H8" s="15" t="n">
        <v>3</v>
      </c>
      <c r="I8" s="15" t="n">
        <v>52.7</v>
      </c>
    </row>
    <row r="9">
      <c r="A9" s="5" t="inlineStr">
        <is>
          <t>Toàn nền kinh tế</t>
        </is>
      </c>
      <c r="B9" s="10">
        <f>Dong_gop_KV!B5</f>
        <v/>
      </c>
      <c r="C9" s="18" t="n">
        <v>53000</v>
      </c>
      <c r="D9" s="15" t="n">
        <v>706.4</v>
      </c>
      <c r="E9" s="10">
        <f>D9/(C9-D9)*100</f>
        <v/>
      </c>
      <c r="F9" s="10">
        <f>((1+B9/100)/(1+E9/100)-1)*100</f>
        <v/>
      </c>
      <c r="G9" s="15" t="n">
        <v>9.199999999999999</v>
      </c>
    </row>
    <row r="10"/>
    <row r="11">
      <c r="A11" s="12" t="inlineStr">
        <is>
          <t>Nguồn: Cục Thống kê (giá trị tăng thêm, lao động, thu nhập quý III/2026); năng suất = (1 + tăng giá trị tăng thêm) / (1 + tăng việc làm) - 1, do TVN tính, công thức trong Excel.</t>
        </is>
      </c>
    </row>
    <row r="12">
      <c r="A12" s="12" t="inlineStr">
        <is>
          <t>Nguồn: Cục Thống kê, thông cáo lao động, việc làm quý III/2026.</t>
        </is>
      </c>
    </row>
    <row r="13">
      <c r="A13" s="12" t="inlineStr">
        <is>
          <t>Năng suất ở đây là năng suất theo giá so sánh, tính từ tốc độ giá trị tăng thêm và tốc độ việc làm; không phải số Cục Thống kê công bố.</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40" customWidth="1" min="1" max="1"/>
    <col width="16" customWidth="1" min="2" max="2"/>
    <col width="18" customWidth="1" min="3" max="3"/>
    <col width="14" customWidth="1" min="4" max="4"/>
    <col width="14" customWidth="1" min="5" max="5"/>
    <col width="14" customWidth="1" min="6" max="6"/>
    <col width="24" customWidth="1" min="7" max="7"/>
  </cols>
  <sheetData>
    <row r="1" ht="34" customHeight="1">
      <c r="B1" s="1" t="inlineStr">
        <is>
          <t>Kịch bản GDP quý IV và cả năm 2026 theo khu vực</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7" t="inlineStr">
        <is>
          <t>Tăng trưởng 9 tháng (%)</t>
        </is>
      </c>
      <c r="B5" s="19">
        <f>Dong_gop_KV!B6</f>
        <v/>
      </c>
    </row>
    <row r="6">
      <c r="A6" s="7" t="inlineStr">
        <is>
          <t>Tỷ trọng 9 tháng trong GDP cả năm</t>
        </is>
      </c>
      <c r="B6" s="20" t="n">
        <v>0.722</v>
      </c>
    </row>
    <row r="7">
      <c r="A7" s="7" t="inlineStr">
        <is>
          <t>Tỷ trọng quý IV trong GDP cả năm</t>
        </is>
      </c>
      <c r="B7" s="21">
        <f>1-B6</f>
        <v/>
      </c>
    </row>
    <row r="8"/>
    <row r="9">
      <c r="A9" s="4" t="inlineStr">
        <is>
          <t>Khu vực</t>
        </is>
      </c>
      <c r="B9" s="4" t="inlineStr">
        <is>
          <t>Tỷ trọng quý IV</t>
        </is>
      </c>
      <c r="C9" s="4" t="inlineStr">
        <is>
          <t>Mục tiêu 12,5% (%)</t>
        </is>
      </c>
      <c r="D9" s="4" t="inlineStr">
        <is>
          <t>Cơ sở (%)</t>
        </is>
      </c>
      <c r="E9" s="4" t="inlineStr">
        <is>
          <t>Tích cực (%)</t>
        </is>
      </c>
      <c r="F9" s="4" t="inlineStr">
        <is>
          <t>Tiêu cực (%)</t>
        </is>
      </c>
      <c r="G9" s="4" t="inlineStr">
        <is>
          <t>Kịch bản riêng của anh chị (%)</t>
        </is>
      </c>
    </row>
    <row r="10">
      <c r="A10" s="5" t="inlineStr">
        <is>
          <t>Nông, lâm, thủy sản</t>
        </is>
      </c>
      <c r="B10" s="22" t="n">
        <v>0.11</v>
      </c>
      <c r="C10" s="15" t="n">
        <v>4.5</v>
      </c>
      <c r="D10" s="15" t="n">
        <v>4.3</v>
      </c>
      <c r="E10" s="15" t="n">
        <v>4.5</v>
      </c>
      <c r="F10" s="15" t="n">
        <v>3.8</v>
      </c>
      <c r="G10" s="15" t="n">
        <v>4.3</v>
      </c>
    </row>
    <row r="11">
      <c r="A11" s="5" t="inlineStr">
        <is>
          <t>Công nghiệp và xây dựng</t>
        </is>
      </c>
      <c r="B11" s="22" t="n">
        <v>0.385</v>
      </c>
      <c r="C11" s="15" t="n">
        <v>15.3</v>
      </c>
      <c r="D11" s="15" t="n">
        <v>13.8</v>
      </c>
      <c r="E11" s="15" t="n">
        <v>15</v>
      </c>
      <c r="F11" s="15" t="n">
        <v>12</v>
      </c>
      <c r="G11" s="15" t="n">
        <v>13.8</v>
      </c>
    </row>
    <row r="12">
      <c r="A12" s="5" t="inlineStr">
        <is>
          <t>Dịch vụ</t>
        </is>
      </c>
      <c r="B12" s="22" t="n">
        <v>0.425</v>
      </c>
      <c r="C12" s="15" t="n">
        <v>12.2</v>
      </c>
      <c r="D12" s="15" t="n">
        <v>10.8</v>
      </c>
      <c r="E12" s="15" t="n">
        <v>11.8</v>
      </c>
      <c r="F12" s="15" t="n">
        <v>9.800000000000001</v>
      </c>
      <c r="G12" s="15" t="n">
        <v>10.8</v>
      </c>
    </row>
    <row r="13">
      <c r="A13" s="5" t="inlineStr">
        <is>
          <t>Thuế sản phẩm trừ trợ cấp</t>
        </is>
      </c>
      <c r="B13" s="22" t="n">
        <v>0.08</v>
      </c>
      <c r="C13" s="15" t="n">
        <v>12</v>
      </c>
      <c r="D13" s="15" t="n">
        <v>10.8</v>
      </c>
      <c r="E13" s="15" t="n">
        <v>12</v>
      </c>
      <c r="F13" s="15" t="n">
        <v>9.5</v>
      </c>
      <c r="G13" s="15" t="n">
        <v>10.8</v>
      </c>
    </row>
    <row r="14">
      <c r="A14" s="5" t="inlineStr">
        <is>
          <t>Tổng tỷ trọng (kiểm tra = 1)</t>
        </is>
      </c>
      <c r="B14" s="23">
        <f>SUM(B10:B13)</f>
        <v/>
      </c>
    </row>
    <row r="15">
      <c r="A15" s="5" t="inlineStr">
        <is>
          <t>GDP quý IV (%)</t>
        </is>
      </c>
      <c r="C15" s="11">
        <f>SUMPRODUCT($B$10:$B$13,C10:C13)</f>
        <v/>
      </c>
      <c r="D15" s="11">
        <f>SUMPRODUCT($B$10:$B$13,D10:D13)</f>
        <v/>
      </c>
      <c r="E15" s="11">
        <f>SUMPRODUCT($B$10:$B$13,E10:E13)</f>
        <v/>
      </c>
      <c r="F15" s="11">
        <f>SUMPRODUCT($B$10:$B$13,F10:F13)</f>
        <v/>
      </c>
      <c r="G15" s="11">
        <f>SUMPRODUCT($B$10:$B$13,G10:G13)</f>
        <v/>
      </c>
    </row>
    <row r="16">
      <c r="A16" s="5" t="inlineStr">
        <is>
          <t>GDP cả năm 2026 (%)</t>
        </is>
      </c>
      <c r="C16" s="11">
        <f>$B$6*$B$5+$B$7*C15</f>
        <v/>
      </c>
      <c r="D16" s="11">
        <f>$B$6*$B$5+$B$7*D15</f>
        <v/>
      </c>
      <c r="E16" s="11">
        <f>$B$6*$B$5+$B$7*E15</f>
        <v/>
      </c>
      <c r="F16" s="11">
        <f>$B$6*$B$5+$B$7*F15</f>
        <v/>
      </c>
      <c r="G16" s="11">
        <f>$B$6*$B$5+$B$7*G15</f>
        <v/>
      </c>
    </row>
    <row r="17">
      <c r="A17" s="5" t="inlineStr">
        <is>
          <t>Khoảng cách với mục tiêu quý IV 12,5% (điểm)</t>
        </is>
      </c>
      <c r="C17" s="10">
        <f>C15-12.5</f>
        <v/>
      </c>
      <c r="D17" s="10">
        <f>D15-12.5</f>
        <v/>
      </c>
      <c r="E17" s="10">
        <f>E15-12.5</f>
        <v/>
      </c>
      <c r="F17" s="10">
        <f>F15-12.5</f>
        <v/>
      </c>
      <c r="G17" s="10">
        <f>G15-12.5</f>
        <v/>
      </c>
    </row>
    <row r="18">
      <c r="A18" s="5" t="inlineStr">
        <is>
          <t>Xác suất theo TVN</t>
        </is>
      </c>
      <c r="C18" s="24" t="inlineStr">
        <is>
          <t>15–20%</t>
        </is>
      </c>
      <c r="D18" s="25" t="n">
        <v>0.55</v>
      </c>
      <c r="E18" s="25" t="n">
        <v>0.2</v>
      </c>
      <c r="F18" s="25" t="n">
        <v>0.25</v>
      </c>
    </row>
    <row r="19">
      <c r="A19" s="5" t="inlineStr">
        <is>
          <t>GDP quý IV bình quân theo xác suất (%)</t>
        </is>
      </c>
      <c r="C19" s="11">
        <f>D18*D15+E18*E15+F18*F15</f>
        <v/>
      </c>
    </row>
    <row r="20">
      <c r="A20" s="5" t="inlineStr">
        <is>
          <t>GDP cả năm tương ứng (%)</t>
        </is>
      </c>
      <c r="C20" s="11">
        <f>$B$6*$B$5+$B$7*C19</f>
        <v/>
      </c>
    </row>
    <row r="21"/>
    <row r="22">
      <c r="A22" s="12" t="inlineStr">
        <is>
          <t>Nguồn: TVN &amp; Partners. Tỷ trọng quý IV ước tính từ cơ cấu GDP thực 2025, hiệu chỉnh khớp 9 tháng 9,01%; GDP quý IV = tổng tỷ trọng nhân tốc độ từng khu vực; GDP cả năm = 72,2% x 9,01% + 27,8% x quý IV. Bảng có công thức trong tệp Excel, đổi tốc độ là kết quả đổi theo.</t>
        </is>
      </c>
    </row>
    <row r="23">
      <c r="A23" s="12" t="inlineStr">
        <is>
          <t>Tỷ trọng quý IV và tỷ trọng 9 tháng trong cả năm là ước tính của TVN &amp; Partners theo cơ cấu GDP thực năm 2025, hiệu chỉnh để khớp 9 tháng 9,01%.</t>
        </is>
      </c>
    </row>
    <row r="24">
      <c r="A24" s="12" t="inlineStr">
        <is>
          <t>Cột cuối là kịch bản riêng: sửa bốn ô tốc độ khu vực, GDP quý IV và cả năm tự tính lại.</t>
        </is>
      </c>
    </row>
    <row r="25"/>
    <row r="26">
      <c r="A26" s="4" t="inlineStr">
        <is>
          <t>Ngày</t>
        </is>
      </c>
      <c r="B26" s="4" t="inlineStr">
        <is>
          <t>Số liệu</t>
        </is>
      </c>
      <c r="C26" s="4" t="inlineStr">
        <is>
          <t>Ngành</t>
        </is>
      </c>
      <c r="D26" s="4" t="inlineStr">
        <is>
          <t>Ngưỡng đổi kịch bản</t>
        </is>
      </c>
    </row>
    <row r="27">
      <c r="A27" s="13" t="inlineStr">
        <is>
          <t>02/11/2026</t>
        </is>
      </c>
      <c r="B27" s="6" t="inlineStr">
        <is>
          <t>PMI tháng 10 (S&amp;P Global)</t>
        </is>
      </c>
      <c r="C27" s="6" t="inlineStr">
        <is>
          <t>Chế biến</t>
        </is>
      </c>
      <c r="D27" s="6" t="inlineStr">
        <is>
          <t>Dưới 50: nghiêng Tiêu cực; trên 52: nghiêng Tích cực</t>
        </is>
      </c>
    </row>
    <row r="28">
      <c r="A28" s="13" t="inlineStr">
        <is>
          <t>06/11/2026</t>
        </is>
      </c>
      <c r="B28" s="6" t="inlineStr">
        <is>
          <t>IIP, bán lẻ, khách quốc tế, vốn ngân sách tháng 10 (Cục Thống kê)</t>
        </is>
      </c>
      <c r="C28" s="6" t="inlineStr">
        <is>
          <t>Mọi khu vực</t>
        </is>
      </c>
      <c r="D28" s="6" t="inlineStr">
        <is>
          <t>IIP dưới 10% hoặc vốn ngân sách dưới 100 nghìn tỷ đồng: hạ kịch bản</t>
        </is>
      </c>
    </row>
    <row r="29">
      <c r="A29" s="13" t="inlineStr">
        <is>
          <t>Tháng 11</t>
        </is>
      </c>
      <c r="B29" s="6" t="inlineStr">
        <is>
          <t>Tín dụng theo ngành quý III (Ngân hàng Nhà nước)</t>
        </is>
      </c>
      <c r="C29" s="6" t="inlineStr">
        <is>
          <t>Tài chính, xây dựng</t>
        </is>
      </c>
      <c r="D29" s="6" t="inlineStr">
        <is>
          <t>Tín dụng bất động sản tăng nhanh hơn dư nợ chung: rủi ro</t>
        </is>
      </c>
    </row>
    <row r="30">
      <c r="A30" s="13" t="inlineStr">
        <is>
          <t>06/12/2026</t>
        </is>
      </c>
      <c r="B30" s="6" t="inlineStr">
        <is>
          <t>Số liệu tháng 11</t>
        </is>
      </c>
      <c r="C30" s="6" t="inlineStr">
        <is>
          <t>Mọi khu vực</t>
        </is>
      </c>
      <c r="D30" s="6" t="inlineStr">
        <is>
          <t>Tồn kho chế biến còn tăng trên 10%: Tiêu cực</t>
        </is>
      </c>
    </row>
    <row r="31">
      <c r="A31" s="13" t="inlineStr">
        <is>
          <t>06/01/2027</t>
        </is>
      </c>
      <c r="B31" s="6" t="inlineStr">
        <is>
          <t>GDP quý IV và cả năm 2026</t>
        </is>
      </c>
      <c r="C31" s="6" t="inlineStr">
        <is>
          <t>Tổng hợp</t>
        </is>
      </c>
      <c r="D31" s="6" t="inlineStr">
        <is>
          <t>Đối chiếu dự báo</t>
        </is>
      </c>
    </row>
  </sheetData>
  <conditionalFormatting sqref="C17:G17">
    <cfRule type="cellIs" priority="1" operator="lessThan" dxfId="0">
      <formula>0</formula>
    </cfRule>
  </conditionalFormatting>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34" customWidth="1" min="1" max="1"/>
    <col width="10" customWidth="1" min="2" max="2"/>
    <col width="14" customWidth="1" min="3" max="3"/>
    <col width="30" customWidth="1" min="4" max="4"/>
    <col width="22" customWidth="1" min="5" max="5"/>
    <col width="26" customWidth="1" min="6" max="6"/>
  </cols>
  <sheetData>
    <row r="1" ht="34" customHeight="1">
      <c r="B1" s="1" t="inlineStr">
        <is>
          <t>Độ nhạy GDP quý IV theo ngành</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7" t="inlineStr">
        <is>
          <t>Mục tiêu GDP quý IV (%)</t>
        </is>
      </c>
      <c r="B5" s="8" t="n">
        <v>12.5</v>
      </c>
    </row>
    <row r="6">
      <c r="A6" s="7" t="inlineStr">
        <is>
          <t>Kịch bản cơ sở (%)</t>
        </is>
      </c>
      <c r="B6" s="19">
        <f>Kich_ban_Q4!D15</f>
        <v/>
      </c>
    </row>
    <row r="7">
      <c r="A7" s="7" t="inlineStr">
        <is>
          <t>Phần thiếu (điểm)</t>
        </is>
      </c>
      <c r="B7" s="19">
        <f>B5-B6</f>
        <v/>
      </c>
    </row>
    <row r="8"/>
    <row r="9">
      <c r="A9" s="4" t="inlineStr">
        <is>
          <t>Ngành</t>
        </is>
      </c>
      <c r="B9" s="4" t="inlineStr">
        <is>
          <t>Khu vực</t>
        </is>
      </c>
      <c r="C9" s="4" t="inlineStr">
        <is>
          <t>Tỷ trọng quý IV</t>
        </is>
      </c>
      <c r="D9" s="4" t="inlineStr">
        <is>
          <t>Mốc gần nhất</t>
        </is>
      </c>
      <c r="E9" s="4" t="inlineStr">
        <is>
          <t>1 điểm của ngành bằng (điểm GDP)</t>
        </is>
      </c>
      <c r="F9" s="4" t="inlineStr">
        <is>
          <t>Cần tăng thêm để một mình bù phần thiếu (điểm)</t>
        </is>
      </c>
    </row>
    <row r="10">
      <c r="A10" s="5" t="inlineStr">
        <is>
          <t>Chế biến, chế tạo</t>
        </is>
      </c>
      <c r="B10" s="14" t="inlineStr">
        <is>
          <t>CN-XD</t>
        </is>
      </c>
      <c r="C10" s="22" t="n">
        <v>0.245</v>
      </c>
      <c r="D10" s="14" t="inlineStr">
        <is>
          <t>+12,28% quý III</t>
        </is>
      </c>
      <c r="E10" s="26">
        <f>C10</f>
        <v/>
      </c>
      <c r="F10" s="27">
        <f>$B$7/C10</f>
        <v/>
      </c>
    </row>
    <row r="11">
      <c r="A11" s="5" t="inlineStr">
        <is>
          <t>Xây dựng</t>
        </is>
      </c>
      <c r="B11" s="14" t="inlineStr">
        <is>
          <t>CN-XD</t>
        </is>
      </c>
      <c r="C11" s="22" t="n">
        <v>0.08500000000000001</v>
      </c>
      <c r="D11" s="14" t="inlineStr">
        <is>
          <t>+14,22% quý III</t>
        </is>
      </c>
      <c r="E11" s="26">
        <f>C11</f>
        <v/>
      </c>
      <c r="F11" s="27">
        <f>$B$7/C11</f>
        <v/>
      </c>
    </row>
    <row r="12">
      <c r="A12" s="5" t="inlineStr">
        <is>
          <t>Khai khoáng, điện, nước</t>
        </is>
      </c>
      <c r="B12" s="14" t="inlineStr">
        <is>
          <t>CN-XD</t>
        </is>
      </c>
      <c r="C12" s="22" t="n">
        <v>0.055</v>
      </c>
      <c r="D12" s="14" t="inlineStr">
        <is>
          <t>IIP khai khoáng +12,2%, điện +12,8%</t>
        </is>
      </c>
      <c r="E12" s="26">
        <f>C12</f>
        <v/>
      </c>
      <c r="F12" s="27">
        <f>$B$7/C12</f>
        <v/>
      </c>
    </row>
    <row r="13">
      <c r="A13" s="5" t="inlineStr">
        <is>
          <t>Bán buôn, bán lẻ</t>
        </is>
      </c>
      <c r="B13" s="14" t="inlineStr">
        <is>
          <t>DV</t>
        </is>
      </c>
      <c r="C13" s="22" t="n">
        <v>0.1</v>
      </c>
      <c r="D13" s="14" t="inlineStr">
        <is>
          <t>+9,85% 9 tháng</t>
        </is>
      </c>
      <c r="E13" s="26">
        <f>C13</f>
        <v/>
      </c>
      <c r="F13" s="27">
        <f>$B$7/C13</f>
        <v/>
      </c>
    </row>
    <row r="14">
      <c r="A14" s="5" t="inlineStr">
        <is>
          <t>Vận tải, kho bãi</t>
        </is>
      </c>
      <c r="B14" s="14" t="inlineStr">
        <is>
          <t>DV</t>
        </is>
      </c>
      <c r="C14" s="22" t="n">
        <v>0.035</v>
      </c>
      <c r="D14" s="14" t="inlineStr">
        <is>
          <t>+11,03% 9 tháng</t>
        </is>
      </c>
      <c r="E14" s="26">
        <f>C14</f>
        <v/>
      </c>
      <c r="F14" s="27">
        <f>$B$7/C14</f>
        <v/>
      </c>
    </row>
    <row r="15">
      <c r="A15" s="5" t="inlineStr">
        <is>
          <t>Tài chính, ngân hàng, bảo hiểm</t>
        </is>
      </c>
      <c r="B15" s="14" t="inlineStr">
        <is>
          <t>DV</t>
        </is>
      </c>
      <c r="C15" s="22" t="n">
        <v>0.05</v>
      </c>
      <c r="D15" s="14" t="inlineStr">
        <is>
          <t>+9,45% 9 tháng</t>
        </is>
      </c>
      <c r="E15" s="26">
        <f>C15</f>
        <v/>
      </c>
      <c r="F15" s="27">
        <f>$B$7/C15</f>
        <v/>
      </c>
    </row>
    <row r="16">
      <c r="A16" s="5" t="inlineStr">
        <is>
          <t>Lưu trú, ăn uống</t>
        </is>
      </c>
      <c r="B16" s="14" t="inlineStr">
        <is>
          <t>DV</t>
        </is>
      </c>
      <c r="C16" s="22" t="n">
        <v>0.025</v>
      </c>
      <c r="D16" s="14" t="inlineStr">
        <is>
          <t>+8,83% 9 tháng</t>
        </is>
      </c>
      <c r="E16" s="26">
        <f>C16</f>
        <v/>
      </c>
      <c r="F16" s="27">
        <f>$B$7/C16</f>
        <v/>
      </c>
    </row>
    <row r="17">
      <c r="A17" s="5" t="inlineStr">
        <is>
          <t>Dịch vụ khác</t>
        </is>
      </c>
      <c r="B17" s="14" t="inlineStr">
        <is>
          <t>DV</t>
        </is>
      </c>
      <c r="C17" s="22" t="n">
        <v>0.215</v>
      </c>
      <c r="D17" s="14" t="inlineStr">
        <is>
          <t>Chưa công bố riêng</t>
        </is>
      </c>
      <c r="E17" s="26">
        <f>C17</f>
        <v/>
      </c>
      <c r="F17" s="27">
        <f>$B$7/C17</f>
        <v/>
      </c>
    </row>
    <row r="18">
      <c r="A18" s="5" t="inlineStr">
        <is>
          <t>Nông, lâm, thủy sản</t>
        </is>
      </c>
      <c r="B18" s="14" t="inlineStr">
        <is>
          <t>NLTS</t>
        </is>
      </c>
      <c r="C18" s="22" t="n">
        <v>0.11</v>
      </c>
      <c r="D18" s="14" t="inlineStr">
        <is>
          <t>+4,21% quý III</t>
        </is>
      </c>
      <c r="E18" s="26">
        <f>C18</f>
        <v/>
      </c>
      <c r="F18" s="27">
        <f>$B$7/C18</f>
        <v/>
      </c>
    </row>
    <row r="19">
      <c r="A19" s="5" t="inlineStr">
        <is>
          <t>Thuế sản phẩm trừ trợ cấp</t>
        </is>
      </c>
      <c r="B19" s="14" t="inlineStr">
        <is>
          <t>Thuế</t>
        </is>
      </c>
      <c r="C19" s="22" t="n">
        <v>0.08</v>
      </c>
      <c r="D19" s="14" t="inlineStr">
        <is>
          <t>Khoảng 8%</t>
        </is>
      </c>
      <c r="E19" s="26">
        <f>C19</f>
        <v/>
      </c>
      <c r="F19" s="27">
        <f>$B$7/C19</f>
        <v/>
      </c>
    </row>
    <row r="20">
      <c r="A20" s="5" t="inlineStr">
        <is>
          <t>Tổng tỷ trọng (kiểm tra = 1)</t>
        </is>
      </c>
      <c r="C20" s="23">
        <f>SUM(C10:C19)</f>
        <v/>
      </c>
    </row>
    <row r="21"/>
    <row r="22">
      <c r="A22" s="12" t="inlineStr">
        <is>
          <t>Nguồn: TVN &amp; Partners. Tỷ trọng ngành ước tính từ cơ cấu GDP 2025, cộng đúng tỷ trọng ba khu vực và thuế ở bảng kịch bản. Phần thiếu = 12,5% trừ kịch bản cơ sở; điểm cần tăng thêm = phần thiếu chia tỷ trọng ngành. Công thức trong Excel, sheet Do_nhay_nganh.</t>
        </is>
      </c>
    </row>
    <row r="23"/>
    <row r="24">
      <c r="A24" s="4" t="inlineStr">
        <is>
          <t>Đòn bẩy quý IV</t>
        </is>
      </c>
      <c r="B24" s="4" t="inlineStr">
        <is>
          <t>Ngành nhận tác động đầu tiên</t>
        </is>
      </c>
      <c r="C24" s="4" t="inlineStr">
        <is>
          <t>Giả định</t>
        </is>
      </c>
      <c r="D24" s="4" t="inlineStr">
        <is>
          <t>Tác động GDP quý IV (điểm %, TVN)</t>
        </is>
      </c>
    </row>
    <row r="25">
      <c r="A25" s="13" t="inlineStr">
        <is>
          <t>Đầu tư công giải ngân 95–100% kế hoạch</t>
        </is>
      </c>
      <c r="B25" s="6" t="inlineStr">
        <is>
          <t>Xây dựng; kim loại, vật liệu; vận tải</t>
        </is>
      </c>
      <c r="C25" s="6" t="inlineStr">
        <is>
          <t>Quý IV 388–443 nghìn tỷ đồng, gấp 1,8–2 lần bình quân</t>
        </is>
      </c>
      <c r="D25" s="6" t="inlineStr">
        <is>
          <t>+0,6 đến +0,9</t>
        </is>
      </c>
    </row>
    <row r="26">
      <c r="A26" s="13" t="inlineStr">
        <is>
          <t>Xuất khẩu giữ nhịp tháng 9</t>
        </is>
      </c>
      <c r="B26" s="6" t="inlineStr">
        <is>
          <t>Chế biến điện tử; vận tải, kho bãi; bán buôn</t>
        </is>
      </c>
      <c r="C26" s="6" t="inlineStr">
        <is>
          <t>Khoảng 59,5 tỷ USD mỗi tháng</t>
        </is>
      </c>
      <c r="D26" s="6" t="inlineStr">
        <is>
          <t>+0,3 đến +0,5</t>
        </is>
      </c>
    </row>
    <row r="27">
      <c r="A27" s="13" t="inlineStr">
        <is>
          <t>Tín dụng cả năm 16–17%</t>
        </is>
      </c>
      <c r="B27" s="6" t="inlineStr">
        <is>
          <t>Tài chính, ngân hàng; xây dựng; bán lẻ</t>
        </is>
      </c>
      <c r="C27" s="6" t="inlineStr">
        <is>
          <t>Thêm 0,82–1,01 triệu tỷ đồng</t>
        </is>
      </c>
      <c r="D27" s="6" t="inlineStr">
        <is>
          <t>+0,2 đến +0,4</t>
        </is>
      </c>
    </row>
    <row r="28">
      <c r="A28" s="13" t="inlineStr">
        <is>
          <t>Kích cầu tiêu dùng cuối năm</t>
        </is>
      </c>
      <c r="B28" s="6" t="inlineStr">
        <is>
          <t>Bán lẻ; lưu trú, ăn uống</t>
        </is>
      </c>
      <c r="C28" s="6" t="inlineStr">
        <is>
          <t>Bán lẻ thực từ 8% lên 10%</t>
        </is>
      </c>
      <c r="D28" s="6" t="inlineStr">
        <is>
          <t>+0,2 đến +0,3</t>
        </is>
      </c>
    </row>
    <row r="29">
      <c r="A29" s="13" t="inlineStr">
        <is>
          <t>Đơn hàng xuất khẩu giảm tiếp</t>
        </is>
      </c>
      <c r="B29" s="6" t="inlineStr">
        <is>
          <t>Chế biến; vận tải</t>
        </is>
      </c>
      <c r="C29" s="6" t="inlineStr">
        <is>
          <t>PMI dưới 50</t>
        </is>
      </c>
      <c r="D29" s="6" t="inlineStr">
        <is>
          <t>-0,5 đến -0,8</t>
        </is>
      </c>
    </row>
    <row r="30">
      <c r="A30" s="13" t="inlineStr">
        <is>
          <t>Brent trên 115 USD</t>
        </is>
      </c>
      <c r="B30" s="6" t="inlineStr">
        <is>
          <t>Chế biến, vận tải (khai khoáng hưởng lợi)</t>
        </is>
      </c>
      <c r="C30" s="6" t="inlineStr">
        <is>
          <t>Chi phí đẩy, sức mua giảm</t>
        </is>
      </c>
      <c r="D30" s="6" t="inlineStr">
        <is>
          <t>-0,3 đến -0,5</t>
        </is>
      </c>
    </row>
    <row r="31"/>
    <row r="32">
      <c r="A32" s="12" t="inlineStr">
        <is>
          <t>Nguồn: TVN &amp; Partners, cùng bộ giả định với bảng độ nhạy của phần phân tích chi tiêu (nền theo đà quý III 11,0%); cột ngành cho biết tác động đi vào GDP qua ngành nào trước. Cộng mọi yếu tố thuận lợi cho 12,3–13,1% trên giấy, nhưng vượt trần sức làm ra khoảng 12,3%, nên trên 12,3% là khó khả thi.</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56" customWidth="1" min="5" max="5"/>
    <col width="14" customWidth="1" min="6" max="6"/>
  </cols>
  <sheetData>
    <row r="1" ht="34" customHeight="1">
      <c r="B1" s="1" t="inlineStr">
        <is>
          <t>Trần tăng trưởng quý IV và cả năm theo phía sản xuất (TVN)</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Ngành con</t>
        </is>
      </c>
      <c r="B5" s="4" t="inlineStr">
        <is>
          <t>Khu vực</t>
        </is>
      </c>
      <c r="C5" s="4" t="inlineStr">
        <is>
          <t>Tỷ trọng quý IV</t>
        </is>
      </c>
      <c r="D5" s="4" t="inlineStr">
        <is>
          <t>Trần quý IV (%)</t>
        </is>
      </c>
      <c r="E5" s="4" t="inlineStr">
        <is>
          <t>Ràng buộc chặn</t>
        </is>
      </c>
      <c r="F5" s="4" t="inlineStr">
        <is>
          <t>Điểm GDP ở trần</t>
        </is>
      </c>
    </row>
    <row r="6">
      <c r="A6" s="5" t="inlineStr">
        <is>
          <t>Chế biến, chế tạo</t>
        </is>
      </c>
      <c r="B6" s="14" t="inlineStr">
        <is>
          <t>CN-XD</t>
        </is>
      </c>
      <c r="C6" s="22" t="n">
        <v>0.245</v>
      </c>
      <c r="D6" s="15" t="n">
        <v>14.5</v>
      </c>
      <c r="E6" s="6" t="inlineStr">
        <is>
          <t>Đơn hàng: giữ nhịp sản lượng tháng 9 cả quý, tỷ lệ giữ lại về mức bình quân 9 tháng</t>
        </is>
      </c>
      <c r="F6" s="10">
        <f>C6*D6</f>
        <v/>
      </c>
    </row>
    <row r="7">
      <c r="A7" s="5" t="inlineStr">
        <is>
          <t>Xây dựng</t>
        </is>
      </c>
      <c r="B7" s="14" t="inlineStr">
        <is>
          <t>CN-XD</t>
        </is>
      </c>
      <c r="C7" s="22" t="n">
        <v>0.08500000000000001</v>
      </c>
      <c r="D7" s="15" t="n">
        <v>20</v>
      </c>
      <c r="E7" s="6" t="inlineStr">
        <is>
          <t>Sức thi công: giải ngân 95–100% kế hoạch, gấp 1,8–2 lần bình quân quý</t>
        </is>
      </c>
      <c r="F7" s="10">
        <f>C7*D7</f>
        <v/>
      </c>
    </row>
    <row r="8">
      <c r="A8" s="5" t="inlineStr">
        <is>
          <t>Khai khoáng, điện, nước</t>
        </is>
      </c>
      <c r="B8" s="14" t="inlineStr">
        <is>
          <t>CN-XD</t>
        </is>
      </c>
      <c r="C8" s="22" t="n">
        <v>0.055</v>
      </c>
      <c r="D8" s="15" t="n">
        <v>12</v>
      </c>
      <c r="E8" s="6" t="inlineStr">
        <is>
          <t>Điện chạy theo nhà máy, dầu khí theo giá dầu</t>
        </is>
      </c>
      <c r="F8" s="10">
        <f>C8*D8</f>
        <v/>
      </c>
    </row>
    <row r="9">
      <c r="A9" s="5" t="inlineStr">
        <is>
          <t>Bán buôn, bán lẻ</t>
        </is>
      </c>
      <c r="B9" s="14" t="inlineStr">
        <is>
          <t>DV</t>
        </is>
      </c>
      <c r="C9" s="22" t="n">
        <v>0.1</v>
      </c>
      <c r="D9" s="15" t="n">
        <v>12</v>
      </c>
      <c r="E9" s="6" t="inlineStr">
        <is>
          <t>Phần bán buôn đi theo hàng hóa; bán lẻ bị chặn bởi thu nhập</t>
        </is>
      </c>
      <c r="F9" s="10">
        <f>C9*D9</f>
        <v/>
      </c>
    </row>
    <row r="10">
      <c r="A10" s="5" t="inlineStr">
        <is>
          <t>Vận tải, kho bãi</t>
        </is>
      </c>
      <c r="B10" s="14" t="inlineStr">
        <is>
          <t>DV</t>
        </is>
      </c>
      <c r="C10" s="22" t="n">
        <v>0.035</v>
      </c>
      <c r="D10" s="15" t="n">
        <v>15</v>
      </c>
      <c r="E10" s="6" t="inlineStr">
        <is>
          <t>Đi theo chế biến và xuất khẩu</t>
        </is>
      </c>
      <c r="F10" s="10">
        <f>C10*D10</f>
        <v/>
      </c>
    </row>
    <row r="11">
      <c r="A11" s="5" t="inlineStr">
        <is>
          <t>Tài chính, ngân hàng, bảo hiểm</t>
        </is>
      </c>
      <c r="B11" s="14" t="inlineStr">
        <is>
          <t>DV</t>
        </is>
      </c>
      <c r="C11" s="22" t="n">
        <v>0.05</v>
      </c>
      <c r="D11" s="15" t="n">
        <v>12</v>
      </c>
      <c r="E11" s="6" t="inlineStr">
        <is>
          <t>Tín dụng cả năm 16–17%</t>
        </is>
      </c>
      <c r="F11" s="10">
        <f>C11*D11</f>
        <v/>
      </c>
    </row>
    <row r="12">
      <c r="A12" s="5" t="inlineStr">
        <is>
          <t>Lưu trú, ăn uống</t>
        </is>
      </c>
      <c r="B12" s="14" t="inlineStr">
        <is>
          <t>DV</t>
        </is>
      </c>
      <c r="C12" s="22" t="n">
        <v>0.025</v>
      </c>
      <c r="D12" s="15" t="n">
        <v>10</v>
      </c>
      <c r="E12" s="6" t="inlineStr">
        <is>
          <t>Thu nhập thực chỉ tăng khoảng 4,9%</t>
        </is>
      </c>
      <c r="F12" s="10">
        <f>C12*D12</f>
        <v/>
      </c>
    </row>
    <row r="13">
      <c r="A13" s="5" t="inlineStr">
        <is>
          <t>Dịch vụ khác</t>
        </is>
      </c>
      <c r="B13" s="14" t="inlineStr">
        <is>
          <t>DV</t>
        </is>
      </c>
      <c r="C13" s="22" t="n">
        <v>0.215</v>
      </c>
      <c r="D13" s="15" t="n">
        <v>11</v>
      </c>
      <c r="E13" s="6" t="inlineStr">
        <is>
          <t>Chi thường xuyên tăng chậm, thị trường nhà ở còn trầm</t>
        </is>
      </c>
      <c r="F13" s="10">
        <f>C13*D13</f>
        <v/>
      </c>
    </row>
    <row r="14"/>
    <row r="15">
      <c r="A15" s="4" t="inlineStr">
        <is>
          <t>Khu vực</t>
        </is>
      </c>
      <c r="B15" s="4" t="inlineStr">
        <is>
          <t>Tỷ trọng quý IV</t>
        </is>
      </c>
      <c r="C15" s="4" t="inlineStr">
        <is>
          <t>Trần quý IV (%)</t>
        </is>
      </c>
      <c r="D15" s="4" t="inlineStr">
        <is>
          <t>Cần cho 12,5% (%)</t>
        </is>
      </c>
      <c r="E15" s="4" t="inlineStr">
        <is>
          <t>Khoảng cách (điểm)</t>
        </is>
      </c>
    </row>
    <row r="16">
      <c r="A16" s="5" t="inlineStr">
        <is>
          <t>Nông, lâm, thủy sản</t>
        </is>
      </c>
      <c r="B16" s="26">
        <f>Kich_ban_Q4!B10</f>
        <v/>
      </c>
      <c r="C16" s="9" t="n">
        <v>4.5</v>
      </c>
      <c r="D16" s="27">
        <f>Kich_ban_Q4!C10</f>
        <v/>
      </c>
      <c r="E16" s="10">
        <f>C16-D16</f>
        <v/>
      </c>
    </row>
    <row r="17">
      <c r="A17" s="5" t="inlineStr">
        <is>
          <t>Công nghiệp và xây dựng</t>
        </is>
      </c>
      <c r="B17" s="26">
        <f>Kich_ban_Q4!B11</f>
        <v/>
      </c>
      <c r="C17" s="10">
        <f>SUMIF(B6:B13,"CN-XD",F6:F13)/B17</f>
        <v/>
      </c>
      <c r="D17" s="27">
        <f>Kich_ban_Q4!C11</f>
        <v/>
      </c>
      <c r="E17" s="10">
        <f>C17-D17</f>
        <v/>
      </c>
    </row>
    <row r="18">
      <c r="A18" s="5" t="inlineStr">
        <is>
          <t>Dịch vụ</t>
        </is>
      </c>
      <c r="B18" s="26">
        <f>Kich_ban_Q4!B12</f>
        <v/>
      </c>
      <c r="C18" s="10">
        <f>SUMIF(B6:B13,"DV",F6:F13)/B18</f>
        <v/>
      </c>
      <c r="D18" s="27">
        <f>Kich_ban_Q4!C12</f>
        <v/>
      </c>
      <c r="E18" s="10">
        <f>C18-D18</f>
        <v/>
      </c>
    </row>
    <row r="19">
      <c r="A19" s="5" t="inlineStr">
        <is>
          <t>Thuế sản phẩm trừ trợ cấp</t>
        </is>
      </c>
      <c r="B19" s="26">
        <f>Kich_ban_Q4!B13</f>
        <v/>
      </c>
      <c r="C19" s="9" t="n">
        <v>12</v>
      </c>
      <c r="D19" s="27">
        <f>Kich_ban_Q4!C13</f>
        <v/>
      </c>
      <c r="E19" s="10">
        <f>C19-D19</f>
        <v/>
      </c>
    </row>
    <row r="20">
      <c r="A20" s="5" t="inlineStr">
        <is>
          <t>GDP quý IV ở trần (%)</t>
        </is>
      </c>
      <c r="C20" s="11">
        <f>SUMPRODUCT(B16:B19,C16:C19)</f>
        <v/>
      </c>
      <c r="D20" s="10">
        <f>Kich_ban_Q4!C15</f>
        <v/>
      </c>
      <c r="E20" s="10">
        <f>C20-D20</f>
        <v/>
      </c>
    </row>
    <row r="21">
      <c r="A21" s="5" t="inlineStr">
        <is>
          <t>GDP cả năm 2026 ở trần (%)</t>
        </is>
      </c>
      <c r="C21" s="11">
        <f>Kich_ban_Q4!$B$6*Kich_ban_Q4!$B$5+Kich_ban_Q4!$B$7*C20</f>
        <v/>
      </c>
      <c r="D21" s="10">
        <f>Kich_ban_Q4!C16</f>
        <v/>
      </c>
      <c r="E21" s="10">
        <f>C21-D21</f>
        <v/>
      </c>
    </row>
    <row r="22"/>
    <row r="23">
      <c r="A23" s="12" t="inlineStr">
        <is>
          <t>Nguồn: TVN &amp; Partners. Trần là mức tối đa khả thi của từng ngành con trong quý IV theo ràng buộc đang chặn (đơn hàng, sức thi công, thu nhập, đất và mùa vụ); trần khu vực = bình quân theo tỷ trọng các ngành con. Công thức trong Excel, sheet Tran_tang_truong.</t>
        </is>
      </c>
    </row>
    <row r="24">
      <c r="A24" s="12" t="inlineStr">
        <is>
          <t>Sửa ô nền kem (trần từng ngành con) để thử: GDP quý IV và cả năm ở trần tự tính lại.</t>
        </is>
      </c>
    </row>
  </sheetData>
  <conditionalFormatting sqref="E16:E21">
    <cfRule type="cellIs" priority="1" operator="lessThan" dxfId="0">
      <formula>-0.05</formula>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52" customWidth="1" min="1" max="1"/>
    <col width="12" customWidth="1" min="2" max="2"/>
    <col width="12" customWidth="1" min="3" max="3"/>
    <col width="12" customWidth="1" min="4" max="4"/>
    <col width="40" customWidth="1" min="5" max="5"/>
  </cols>
  <sheetData>
    <row r="1" ht="34" customHeight="1">
      <c r="B1" s="1" t="inlineStr">
        <is>
          <t>Ước tính tồn kho và tài sản quý trong tăng trưởng quý III/2026</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Bước tính</t>
        </is>
      </c>
      <c r="B5" s="4" t="inlineStr">
        <is>
          <t>Thấp</t>
        </is>
      </c>
      <c r="C5" s="4" t="inlineStr">
        <is>
          <t>Trung tâm</t>
        </is>
      </c>
      <c r="D5" s="4" t="inlineStr">
        <is>
          <t>Cao</t>
        </is>
      </c>
      <c r="E5" s="4" t="inlineStr">
        <is>
          <t>Ghi chú</t>
        </is>
      </c>
    </row>
    <row r="6">
      <c r="A6" s="13" t="inlineStr">
        <is>
          <t>I góp vào GDP quý III (điểm)</t>
        </is>
      </c>
      <c r="B6" s="10">
        <f>Doi_chieu!D13</f>
        <v/>
      </c>
      <c r="C6" s="10">
        <f>Doi_chieu!D13</f>
        <v/>
      </c>
      <c r="D6" s="10">
        <f>Doi_chieu!D13</f>
        <v/>
      </c>
      <c r="E6" s="14" t="inlineStr">
        <is>
          <t>Bản chi tiêu (7,06 điểm)</t>
        </is>
      </c>
    </row>
    <row r="7">
      <c r="A7" s="13" t="inlineStr">
        <is>
          <t>Vốn đầu tư toàn xã hội quý III, tăng danh nghĩa (%)</t>
        </is>
      </c>
      <c r="B7" s="9" t="n">
        <v>16.7</v>
      </c>
      <c r="C7" s="9" t="n">
        <v>16.7</v>
      </c>
      <c r="D7" s="9" t="n">
        <v>16.7</v>
      </c>
      <c r="E7" s="14" t="inlineStr">
        <is>
          <t>Cục Thống kê</t>
        </is>
      </c>
    </row>
    <row r="8">
      <c r="A8" s="13" t="inlineStr">
        <is>
          <t>Giá hàng đầu tư tăng (%)</t>
        </is>
      </c>
      <c r="B8" s="9" t="n">
        <v>4.5</v>
      </c>
      <c r="C8" s="9" t="n">
        <v>3.5</v>
      </c>
      <c r="D8" s="9" t="n">
        <v>2.5</v>
      </c>
      <c r="E8" s="14" t="inlineStr">
        <is>
          <t>TVN giả định; cột Thấp ứng với giá tăng nhiều</t>
        </is>
      </c>
    </row>
    <row r="9">
      <c r="A9" s="13" t="inlineStr">
        <is>
          <t>Tài sản cố định tăng thực (%)</t>
        </is>
      </c>
      <c r="B9" s="10">
        <f>((1+B7/100)/(1+B8/100)-1)*100</f>
        <v/>
      </c>
      <c r="C9" s="10">
        <f>((1+C7/100)/(1+C8/100)-1)*100</f>
        <v/>
      </c>
      <c r="D9" s="10">
        <f>((1+D7/100)/(1+D8/100)-1)*100</f>
        <v/>
      </c>
      <c r="E9" s="14" t="inlineStr">
        <is>
          <t>Công thức</t>
        </is>
      </c>
    </row>
    <row r="10">
      <c r="A10" s="13" t="inlineStr">
        <is>
          <t>Quyền số tài sản cố định trong GDP</t>
        </is>
      </c>
      <c r="B10" s="9" t="n">
        <v>0.3</v>
      </c>
      <c r="C10" s="9" t="n">
        <v>0.31</v>
      </c>
      <c r="D10" s="9" t="n">
        <v>0.32</v>
      </c>
      <c r="E10" s="14" t="inlineStr">
        <is>
          <t>TVN ước theo cơ cấu 2025</t>
        </is>
      </c>
    </row>
    <row r="11">
      <c r="A11" s="13" t="inlineStr">
        <is>
          <t>Tài sản cố định góp (điểm)</t>
        </is>
      </c>
      <c r="B11" s="10">
        <f>B9*B10</f>
        <v/>
      </c>
      <c r="C11" s="10">
        <f>C9*C10</f>
        <v/>
      </c>
      <c r="D11" s="10">
        <f>D9*D10</f>
        <v/>
      </c>
      <c r="E11" s="14" t="inlineStr">
        <is>
          <t>Quyền số nhân tốc độ thực</t>
        </is>
      </c>
    </row>
    <row r="12">
      <c r="A12" s="13" t="inlineStr">
        <is>
          <t>Phần còn lại của I: tồn kho và tài sản quý (điểm)</t>
        </is>
      </c>
      <c r="B12" s="10">
        <f>B6-B11</f>
        <v/>
      </c>
      <c r="C12" s="10">
        <f>C6-C11</f>
        <v/>
      </c>
      <c r="D12" s="10">
        <f>D6-D11</f>
        <v/>
      </c>
      <c r="E12" s="14" t="inlineStr">
        <is>
          <t>Trước khi trừ chênh lệch</t>
        </is>
      </c>
    </row>
    <row r="13">
      <c r="A13" s="13" t="inlineStr">
        <is>
          <t>Chênh lệch thống kê quý III (điểm)</t>
        </is>
      </c>
      <c r="B13" s="10">
        <f>Doi_chieu!D15</f>
        <v/>
      </c>
      <c r="C13" s="10">
        <f>Doi_chieu!D15</f>
        <v/>
      </c>
      <c r="D13" s="10">
        <f>Doi_chieu!D15</f>
        <v/>
      </c>
      <c r="E13" s="14" t="inlineStr">
        <is>
          <t>Giả định toàn bộ nằm ở I</t>
        </is>
      </c>
    </row>
    <row r="14">
      <c r="A14" s="13" t="inlineStr">
        <is>
          <t>Tồn kho và tài sản quý sau điều chỉnh (điểm)</t>
        </is>
      </c>
      <c r="B14" s="11">
        <f>B12+B13</f>
        <v/>
      </c>
      <c r="C14" s="11">
        <f>C12+C13</f>
        <v/>
      </c>
      <c r="D14" s="11">
        <f>D12+D13</f>
        <v/>
      </c>
      <c r="E14" s="14" t="inlineStr">
        <is>
          <t>Kết quả</t>
        </is>
      </c>
    </row>
    <row r="15">
      <c r="A15" s="13" t="inlineStr">
        <is>
          <t>Tỷ lệ trong mức tăng GDP quý III (%)</t>
        </is>
      </c>
      <c r="B15" s="11">
        <f>B14/Dong_gop_KV!$B$5*100</f>
        <v/>
      </c>
      <c r="C15" s="11">
        <f>C14/Dong_gop_KV!$B$5*100</f>
        <v/>
      </c>
      <c r="D15" s="11">
        <f>D14/Dong_gop_KV!$B$5*100</f>
        <v/>
      </c>
      <c r="E15" s="14" t="inlineStr">
        <is>
          <t>Kết quả</t>
        </is>
      </c>
    </row>
    <row r="16"/>
    <row r="17">
      <c r="A17" s="12" t="inlineStr">
        <is>
          <t>Nguồn: TVN &amp; Partners tính, công thức trong Excel, sheet Ton_kho_uoc. Đây là ước tính có biên sai số rộng vì Cục Thống kê chưa tách tài sản cố định, tồn kho và tài sản quý trong tích lũy; tài sản quý gồm vàng và đồ quý giá mua để giữ giá trị.</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24" customWidth="1" min="1" max="1"/>
    <col width="16" customWidth="1" min="2" max="2"/>
    <col width="16" customWidth="1" min="3" max="3"/>
    <col width="20" customWidth="1" min="4" max="4"/>
    <col width="46" customWidth="1" min="5" max="5"/>
    <col width="2" customWidth="1" min="6" max="6"/>
    <col width="24" customWidth="1" min="7" max="7"/>
  </cols>
  <sheetData>
    <row r="1" ht="34" customHeight="1">
      <c r="B1" s="1" t="inlineStr">
        <is>
          <t>Tăng trưởng GRDP theo địa phương 2026</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Địa phương</t>
        </is>
      </c>
      <c r="B5" s="4" t="inlineStr">
        <is>
          <t>GRDP 9 tháng (%)</t>
        </is>
      </c>
      <c r="C5" s="4" t="inlineStr">
        <is>
          <t>GRDP quý III (%)</t>
        </is>
      </c>
      <c r="D5" s="4" t="inlineStr">
        <is>
          <t>Chênh với cả nước 9 tháng (điểm)</t>
        </is>
      </c>
      <c r="E5" s="4" t="inlineStr">
        <is>
          <t>Ghi chú</t>
        </is>
      </c>
      <c r="G5" t="inlineStr">
        <is>
          <t>GDP cả nước 9 tháng (%)</t>
        </is>
      </c>
    </row>
    <row r="6">
      <c r="A6" s="5" t="inlineStr">
        <is>
          <t>Quảng Ninh</t>
        </is>
      </c>
      <c r="B6" s="9" t="n">
        <v>12.54</v>
      </c>
      <c r="C6" s="9" t="n">
        <v>15.04</v>
      </c>
      <c r="D6" s="10">
        <f>B6-$G$6</f>
        <v/>
      </c>
      <c r="E6" s="6" t="inlineStr">
        <is>
          <t>Dẫn đầu cả nước cả 9 tháng và quý III</t>
        </is>
      </c>
      <c r="G6" s="28">
        <f>Dong_gop_KV!B6</f>
        <v/>
      </c>
    </row>
    <row r="7">
      <c r="A7" s="5" t="inlineStr">
        <is>
          <t>Hà Tĩnh</t>
        </is>
      </c>
      <c r="B7" s="9" t="n">
        <v>12.36</v>
      </c>
      <c r="C7" s="29" t="inlineStr">
        <is>
          <t>–</t>
        </is>
      </c>
      <c r="D7" s="10">
        <f>B7-$G$6</f>
        <v/>
      </c>
      <c r="E7" s="6" t="inlineStr"/>
    </row>
    <row r="8">
      <c r="A8" s="5" t="inlineStr">
        <is>
          <t>Hải Phòng</t>
        </is>
      </c>
      <c r="B8" s="9" t="n">
        <v>12.08</v>
      </c>
      <c r="C8" s="29" t="inlineStr">
        <is>
          <t>–</t>
        </is>
      </c>
      <c r="D8" s="10">
        <f>B8-$G$6</f>
        <v/>
      </c>
      <c r="E8" s="6" t="inlineStr">
        <is>
          <t>Cần khoảng 15,39% quý IV để đạt mục tiêu năm</t>
        </is>
      </c>
    </row>
    <row r="9">
      <c r="A9" s="5" t="inlineStr">
        <is>
          <t>Bắc Ninh</t>
        </is>
      </c>
      <c r="B9" s="9" t="n">
        <v>11.81</v>
      </c>
      <c r="C9" s="9" t="n">
        <v>13.83</v>
      </c>
      <c r="D9" s="10">
        <f>B9-$G$6</f>
        <v/>
      </c>
      <c r="E9" s="6" t="inlineStr">
        <is>
          <t>Điện tử FDI</t>
        </is>
      </c>
    </row>
    <row r="10">
      <c r="A10" s="5" t="inlineStr">
        <is>
          <t>Ninh Bình</t>
        </is>
      </c>
      <c r="B10" s="9" t="n">
        <v>11.31</v>
      </c>
      <c r="C10" s="29" t="inlineStr">
        <is>
          <t>–</t>
        </is>
      </c>
      <c r="D10" s="10">
        <f>B10-$G$6</f>
        <v/>
      </c>
      <c r="E10" s="6" t="inlineStr"/>
    </row>
    <row r="11">
      <c r="A11" s="5" t="inlineStr">
        <is>
          <t>Thái Nguyên</t>
        </is>
      </c>
      <c r="B11" s="9" t="n">
        <v>11.24</v>
      </c>
      <c r="C11" s="9" t="n">
        <v>13.96</v>
      </c>
      <c r="D11" s="10">
        <f>B11-$G$6</f>
        <v/>
      </c>
      <c r="E11" s="6" t="inlineStr">
        <is>
          <t>Công nghiệp và xây dựng quý III +20,34%</t>
        </is>
      </c>
    </row>
    <row r="12">
      <c r="A12" s="5" t="inlineStr">
        <is>
          <t>Hưng Yên</t>
        </is>
      </c>
      <c r="B12" s="9" t="n">
        <v>11.22</v>
      </c>
      <c r="C12" s="29" t="inlineStr">
        <is>
          <t>–</t>
        </is>
      </c>
      <c r="D12" s="10">
        <f>B12-$G$6</f>
        <v/>
      </c>
      <c r="E12" s="6" t="inlineStr"/>
    </row>
    <row r="13">
      <c r="A13" s="5" t="inlineStr">
        <is>
          <t>Khánh Hòa</t>
        </is>
      </c>
      <c r="B13" s="9" t="n">
        <v>11.21</v>
      </c>
      <c r="C13" s="29" t="inlineStr">
        <is>
          <t>–</t>
        </is>
      </c>
      <c r="D13" s="10">
        <f>B13-$G$6</f>
        <v/>
      </c>
      <c r="E13" s="6" t="inlineStr"/>
    </row>
    <row r="14">
      <c r="A14" s="5" t="inlineStr">
        <is>
          <t>Đà Nẵng</t>
        </is>
      </c>
      <c r="B14" s="9" t="n">
        <v>10.31</v>
      </c>
      <c r="C14" s="29" t="inlineStr">
        <is>
          <t>–</t>
        </is>
      </c>
      <c r="D14" s="10">
        <f>B14-$G$6</f>
        <v/>
      </c>
      <c r="E14" s="6" t="inlineStr"/>
    </row>
    <row r="15">
      <c r="A15" s="5" t="inlineStr">
        <is>
          <t>Tây Ninh</t>
        </is>
      </c>
      <c r="B15" s="9" t="n">
        <v>10.3</v>
      </c>
      <c r="C15" s="29" t="inlineStr">
        <is>
          <t>–</t>
        </is>
      </c>
      <c r="D15" s="10">
        <f>B15-$G$6</f>
        <v/>
      </c>
      <c r="E15" s="6" t="inlineStr"/>
    </row>
    <row r="16">
      <c r="A16" s="5" t="inlineStr">
        <is>
          <t>Phú Thọ, Đồng Nai</t>
        </is>
      </c>
      <c r="B16" s="9" t="n">
        <v>10.01</v>
      </c>
      <c r="C16" s="29" t="inlineStr">
        <is>
          <t>–</t>
        </is>
      </c>
      <c r="D16" s="10">
        <f>B16-$G$6</f>
        <v/>
      </c>
      <c r="E16" s="6" t="inlineStr">
        <is>
          <t>Hai địa phương cùng mức</t>
        </is>
      </c>
    </row>
    <row r="17">
      <c r="A17" s="5" t="inlineStr">
        <is>
          <t>TP Hồ Chí Minh</t>
        </is>
      </c>
      <c r="B17" s="9" t="n">
        <v>9.06</v>
      </c>
      <c r="C17" s="9" t="n">
        <v>9.859999999999999</v>
      </c>
      <c r="D17" s="10">
        <f>B17-$G$6</f>
        <v/>
      </c>
      <c r="E17" s="6" t="inlineStr">
        <is>
          <t>Cần khoảng 13,23% quý IV</t>
        </is>
      </c>
    </row>
    <row r="18">
      <c r="A18" s="5" t="inlineStr">
        <is>
          <t>Hà Nội</t>
        </is>
      </c>
      <c r="B18" s="9" t="n">
        <v>8.85</v>
      </c>
      <c r="C18" s="9" t="n">
        <v>10.02</v>
      </c>
      <c r="D18" s="10">
        <f>B18-$G$6</f>
        <v/>
      </c>
      <c r="E18" s="6" t="inlineStr">
        <is>
          <t>Cần khoảng 16,55% quý IV để đạt 11%</t>
        </is>
      </c>
    </row>
    <row r="19">
      <c r="A19" s="5" t="inlineStr">
        <is>
          <t>Đồng Tháp</t>
        </is>
      </c>
      <c r="B19" s="9" t="n">
        <v>7.44</v>
      </c>
      <c r="C19" s="29" t="inlineStr">
        <is>
          <t>–</t>
        </is>
      </c>
      <c r="D19" s="10">
        <f>B19-$G$6</f>
        <v/>
      </c>
      <c r="E19" s="6" t="inlineStr">
        <is>
          <t>Tỷ trọng nông nghiệp lớn</t>
        </is>
      </c>
    </row>
    <row r="20">
      <c r="A20" s="5" t="inlineStr">
        <is>
          <t>Cà Mau</t>
        </is>
      </c>
      <c r="B20" s="9" t="n">
        <v>7.37</v>
      </c>
      <c r="C20" s="29" t="inlineStr">
        <is>
          <t>–</t>
        </is>
      </c>
      <c r="D20" s="10">
        <f>B20-$G$6</f>
        <v/>
      </c>
      <c r="E20" s="6" t="inlineStr">
        <is>
          <t>Cần khoảng 16,70% quý IV</t>
        </is>
      </c>
    </row>
    <row r="21">
      <c r="A21" s="5" t="inlineStr">
        <is>
          <t>Vĩnh Long</t>
        </is>
      </c>
      <c r="B21" s="9" t="n">
        <v>7.32</v>
      </c>
      <c r="C21" s="29" t="inlineStr">
        <is>
          <t>–</t>
        </is>
      </c>
      <c r="D21" s="10">
        <f>B21-$G$6</f>
        <v/>
      </c>
      <c r="E21" s="6" t="inlineStr">
        <is>
          <t>Cần khoảng 17,25% quý IV</t>
        </is>
      </c>
    </row>
    <row r="22">
      <c r="A22" s="5" t="inlineStr">
        <is>
          <t>Sơn La</t>
        </is>
      </c>
      <c r="B22" s="9" t="n">
        <v>5.59</v>
      </c>
      <c r="C22" s="29" t="inlineStr">
        <is>
          <t>–</t>
        </is>
      </c>
      <c r="D22" s="10">
        <f>B22-$G$6</f>
        <v/>
      </c>
      <c r="E22" s="6" t="inlineStr">
        <is>
          <t>Thấp nhất; sản xuất điện giảm</t>
        </is>
      </c>
    </row>
    <row r="23"/>
    <row r="24">
      <c r="A24" s="12" t="inlineStr">
        <is>
          <t>Nguồn: Cục Thống kê qua Tiền Phong, Znews, VietnamPlus (03–06/10/2026); mức quý IV cần đạt theo VnBusiness. Dấu '–' là địa phương không công bố riêng số quý III trong các nguồn trên.</t>
        </is>
      </c>
    </row>
    <row r="25">
      <c r="A25" s="12" t="inlineStr">
        <is>
          <t>Số địa phương tăng từ 10% trở lên: 7 (6 tháng), 12 (9 tháng), 17 (riêng quý III); 24/34 địa phương thấp hơn mục tiêu năm.</t>
        </is>
      </c>
    </row>
  </sheetData>
  <conditionalFormatting sqref="D6:D22">
    <cfRule type="cellIs" priority="1" operator="lessThan" dxfId="0">
      <formula>0</formula>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30" customWidth="1" min="2" max="2"/>
    <col width="16" customWidth="1" min="3" max="3"/>
    <col width="12" customWidth="1" min="4" max="4"/>
    <col width="14" customWidth="1" min="5" max="5"/>
    <col width="14" customWidth="1" min="6" max="6"/>
    <col width="36" customWidth="1" min="7" max="7"/>
    <col width="14" customWidth="1" min="8" max="8"/>
  </cols>
  <sheetData>
    <row r="1" ht="34" customHeight="1">
      <c r="B1" s="1" t="inlineStr">
        <is>
          <t>Thẻ điểm tám nhóm ngành: phần trong mức tăng 9 tháng, xu hướng, quý IV, độ bền</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Nhóm ngành</t>
        </is>
      </c>
      <c r="B5" s="4" t="inlineStr">
        <is>
          <t>Chủ yếu là</t>
        </is>
      </c>
      <c r="C5" s="4" t="inlineStr">
        <is>
          <t>Phần trong mức tăng 2026 (%)</t>
        </is>
      </c>
      <c r="D5" s="4" t="inlineStr">
        <is>
          <t>2025 (%)</t>
        </is>
      </c>
      <c r="E5" s="4" t="inlineStr">
        <is>
          <t>Thay đổi (điểm)</t>
        </is>
      </c>
      <c r="F5" s="4" t="inlineStr">
        <is>
          <t>Xu hướng (TVN)</t>
        </is>
      </c>
      <c r="G5" s="4" t="inlineStr">
        <is>
          <t>Quý IV/2026 (TVN)</t>
        </is>
      </c>
      <c r="H5" s="4" t="inlineStr">
        <is>
          <t>Độ bền 1–5 (TVN)</t>
        </is>
      </c>
    </row>
    <row r="6">
      <c r="A6" s="5" t="inlineStr">
        <is>
          <t>Chế biến, chế tạo</t>
        </is>
      </c>
      <c r="B6" s="6" t="inlineStr">
        <is>
          <t>FDI (điện tử); trong nước (thép, thực phẩm)</t>
        </is>
      </c>
      <c r="C6" s="9" t="n">
        <v>33.85</v>
      </c>
      <c r="D6" s="9" t="n">
        <v>31.73</v>
      </c>
      <c r="E6" s="10">
        <f>C6-D6</f>
        <v/>
      </c>
      <c r="F6" s="14" t="inlineStr">
        <is>
          <t>Tăng tốc</t>
        </is>
      </c>
      <c r="G6" s="6" t="inlineStr">
        <is>
          <t>Phụ thuộc đơn hàng; tồn kho +11,9%</t>
        </is>
      </c>
      <c r="H6" s="14" t="n">
        <v>3</v>
      </c>
    </row>
    <row r="7">
      <c r="A7" s="5" t="inlineStr">
        <is>
          <t>Xây dựng</t>
        </is>
      </c>
      <c r="B7" s="6" t="inlineStr">
        <is>
          <t>Trong nước</t>
        </is>
      </c>
      <c r="C7" s="9" t="n">
        <v>8.23</v>
      </c>
      <c r="D7" s="9" t="n">
        <v>7.99</v>
      </c>
      <c r="E7" s="10">
        <f>C7-D7</f>
        <v/>
      </c>
      <c r="F7" s="14" t="inlineStr">
        <is>
          <t>Tăng tốc</t>
        </is>
      </c>
      <c r="G7" s="6" t="inlineStr">
        <is>
          <t>Được đầu tư công kéo lên</t>
        </is>
      </c>
      <c r="H7" s="14" t="n">
        <v>3</v>
      </c>
    </row>
    <row r="8">
      <c r="A8" s="5" t="inlineStr">
        <is>
          <t>Khai khoáng, điện, nước</t>
        </is>
      </c>
      <c r="B8" s="6" t="inlineStr">
        <is>
          <t>Nhà nước</t>
        </is>
      </c>
      <c r="C8" s="9" t="n">
        <v>7.54</v>
      </c>
      <c r="D8" s="9" t="n">
        <v>3.33</v>
      </c>
      <c r="E8" s="10">
        <f>C8-D8</f>
        <v/>
      </c>
      <c r="F8" s="14" t="inlineStr">
        <is>
          <t>Tăng tốc</t>
        </is>
      </c>
      <c r="G8" s="6" t="inlineStr">
        <is>
          <t>Theo giá dầu và nhà máy</t>
        </is>
      </c>
      <c r="H8" s="14" t="n">
        <v>2</v>
      </c>
    </row>
    <row r="9">
      <c r="A9" s="5" t="inlineStr">
        <is>
          <t>Thương mại, vận tải</t>
        </is>
      </c>
      <c r="B9" s="6" t="inlineStr">
        <is>
          <t>Trong nước</t>
        </is>
      </c>
      <c r="C9" s="9" t="n">
        <v>19.2</v>
      </c>
      <c r="D9" s="9" t="n">
        <v>19.64</v>
      </c>
      <c r="E9" s="10">
        <f>C9-D9</f>
        <v/>
      </c>
      <c r="F9" s="14" t="inlineStr">
        <is>
          <t>Giữ nhịp</t>
        </is>
      </c>
      <c r="G9" s="6" t="inlineStr">
        <is>
          <t>Theo hàng hóa của nhà máy</t>
        </is>
      </c>
      <c r="H9" s="14" t="n">
        <v>4</v>
      </c>
    </row>
    <row r="10">
      <c r="A10" s="5" t="inlineStr">
        <is>
          <t>Tài chính, ngân hàng</t>
        </is>
      </c>
      <c r="B10" s="6" t="inlineStr">
        <is>
          <t>Trong nước</t>
        </is>
      </c>
      <c r="C10" s="9" t="n">
        <v>5.27</v>
      </c>
      <c r="D10" s="9" t="n">
        <v>5.16</v>
      </c>
      <c r="E10" s="10">
        <f>C10-D10</f>
        <v/>
      </c>
      <c r="F10" s="14" t="inlineStr">
        <is>
          <t>Giữ nhịp</t>
        </is>
      </c>
      <c r="G10" s="6" t="inlineStr">
        <is>
          <t>Theo tín dụng 16–17%</t>
        </is>
      </c>
      <c r="H10" s="14" t="inlineStr">
        <is>
          <t>chưa chấm</t>
        </is>
      </c>
    </row>
    <row r="11">
      <c r="A11" s="5" t="inlineStr">
        <is>
          <t>Nông, lâm, thủy sản</t>
        </is>
      </c>
      <c r="B11" s="6" t="inlineStr">
        <is>
          <t>Hộ gia đình</t>
        </is>
      </c>
      <c r="C11" s="9" t="n">
        <v>5.35</v>
      </c>
      <c r="D11" s="9" t="n">
        <v>5.35</v>
      </c>
      <c r="E11" s="10">
        <f>C11-D11</f>
        <v/>
      </c>
      <c r="F11" s="14" t="inlineStr">
        <is>
          <t>Giữ nhịp</t>
        </is>
      </c>
      <c r="G11" s="6" t="inlineStr">
        <is>
          <t>Ổn định, thu nhập thấp</t>
        </is>
      </c>
      <c r="H11" s="14" t="n">
        <v>4</v>
      </c>
    </row>
    <row r="12">
      <c r="A12" s="5" t="inlineStr">
        <is>
          <t>Lưu trú, ăn uống</t>
        </is>
      </c>
      <c r="B12" s="6" t="inlineStr">
        <is>
          <t>Trong nước</t>
        </is>
      </c>
      <c r="C12" s="9" t="n">
        <v>2.69</v>
      </c>
      <c r="D12" s="9" t="n">
        <v>3.5</v>
      </c>
      <c r="E12" s="10">
        <f>C12-D12</f>
        <v/>
      </c>
      <c r="F12" s="14" t="inlineStr">
        <is>
          <t>Chậm lại</t>
        </is>
      </c>
      <c r="G12" s="6" t="inlineStr">
        <is>
          <t>Chạm trần thu nhập thực</t>
        </is>
      </c>
      <c r="H12" s="14" t="n">
        <v>3</v>
      </c>
    </row>
    <row r="13">
      <c r="A13" s="5" t="inlineStr">
        <is>
          <t>Dịch vụ công, bất động sản</t>
        </is>
      </c>
      <c r="B13" s="6" t="inlineStr">
        <is>
          <t>Nhà nước, tư nhân</t>
        </is>
      </c>
      <c r="C13" s="9" t="n">
        <v>17.87</v>
      </c>
      <c r="D13" s="9" t="n">
        <v>23.29</v>
      </c>
      <c r="E13" s="10">
        <f>C13-D13</f>
        <v/>
      </c>
      <c r="F13" s="14" t="inlineStr">
        <is>
          <t>Chậm lại</t>
        </is>
      </c>
      <c r="G13" s="6" t="inlineStr">
        <is>
          <t>Chi thường xuyên chậm, nhà ở trầm</t>
        </is>
      </c>
      <c r="H13" s="14" t="inlineStr">
        <is>
          <t>chưa chấm</t>
        </is>
      </c>
    </row>
    <row r="14">
      <c r="A14" s="5" t="inlineStr">
        <is>
          <t>Tổng</t>
        </is>
      </c>
      <c r="C14" s="10">
        <f>SUM(C6:C13)</f>
        <v/>
      </c>
      <c r="D14" s="10">
        <f>SUM(D6:D13)</f>
        <v/>
      </c>
    </row>
    <row r="15">
      <c r="A15" s="5" t="inlineStr">
        <is>
          <t>Ba nhóm tăng tốc</t>
        </is>
      </c>
      <c r="C15" s="10">
        <f>C6+C7+C8</f>
        <v/>
      </c>
    </row>
    <row r="16"/>
    <row r="17">
      <c r="A17" s="12" t="inlineStr">
        <is>
          <t>Nguồn: Cục Thống kê (phần trong mức tăng); xu hướng, quý IV và độ bền là đánh giá của TVN &amp; Partners. Thương mại, vận tải gộp bán buôn, bán lẻ (11,99%) và vận tải, kho bãi (7,21%).</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1" max="1"/>
    <col width="18" customWidth="1" min="2" max="2"/>
    <col width="20" customWidth="1" min="3" max="3"/>
    <col width="18" customWidth="1" min="4" max="4"/>
    <col width="14" customWidth="1" min="5" max="5"/>
  </cols>
  <sheetData>
    <row r="1" ht="34" customHeight="1">
      <c r="B1" s="1" t="inlineStr">
        <is>
          <t>FDI và doanh nghiệp trong nước: xuất nhập khẩu và vốn đầu tư 9 tháng 2026</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Chỉ tiêu (tỷ USD)</t>
        </is>
      </c>
      <c r="B5" s="4" t="inlineStr">
        <is>
          <t>Khu vực FDI</t>
        </is>
      </c>
      <c r="C5" s="4" t="inlineStr">
        <is>
          <t>Khu vực trong nước</t>
        </is>
      </c>
      <c r="D5" s="4" t="inlineStr">
        <is>
          <t>Toàn nền kinh tế</t>
        </is>
      </c>
      <c r="E5" s="4" t="inlineStr">
        <is>
          <t>Phần FDI (%)</t>
        </is>
      </c>
    </row>
    <row r="6">
      <c r="A6" s="5" t="inlineStr">
        <is>
          <t>Xuất khẩu hàng hóa</t>
        </is>
      </c>
      <c r="B6" s="9" t="n">
        <v>350.41</v>
      </c>
      <c r="C6" s="10">
        <f>D6-B6</f>
        <v/>
      </c>
      <c r="D6" s="9" t="n">
        <v>434.3</v>
      </c>
      <c r="E6" s="10">
        <f>B6/D6*100</f>
        <v/>
      </c>
    </row>
    <row r="7">
      <c r="A7" s="5" t="inlineStr">
        <is>
          <t>Nhập khẩu hàng hóa</t>
        </is>
      </c>
      <c r="B7" s="9" t="n">
        <v>335.55</v>
      </c>
      <c r="C7" s="9" t="n">
        <v>118.17</v>
      </c>
      <c r="D7" s="10">
        <f>B7+C7</f>
        <v/>
      </c>
      <c r="E7" s="10">
        <f>B7/D7*100</f>
        <v/>
      </c>
    </row>
    <row r="8">
      <c r="A8" s="5" t="inlineStr">
        <is>
          <t>Cán cân hàng hóa</t>
        </is>
      </c>
      <c r="B8" s="10">
        <f>B6-B7</f>
        <v/>
      </c>
      <c r="C8" s="10">
        <f>C6-C7</f>
        <v/>
      </c>
      <c r="D8" s="10">
        <f>D6-D7</f>
        <v/>
      </c>
    </row>
    <row r="9"/>
    <row r="10">
      <c r="A10" s="4" t="inlineStr">
        <is>
          <t>Vốn đầu tư toàn xã hội (%)</t>
        </is>
      </c>
      <c r="B10" s="4" t="inlineStr">
        <is>
          <t>Tư nhân trong nước</t>
        </is>
      </c>
      <c r="C10" s="4" t="inlineStr">
        <is>
          <t>Nhà nước</t>
        </is>
      </c>
      <c r="D10" s="4" t="inlineStr">
        <is>
          <t>FDI</t>
        </is>
      </c>
      <c r="E10" s="4" t="inlineStr">
        <is>
          <t>Tổng</t>
        </is>
      </c>
    </row>
    <row r="11">
      <c r="A11" s="5" t="inlineStr">
        <is>
          <t>Cơ cấu 9 tháng</t>
        </is>
      </c>
      <c r="B11" s="9" t="n">
        <v>53</v>
      </c>
      <c r="C11" s="9" t="n">
        <v>30</v>
      </c>
      <c r="D11" s="9" t="n">
        <v>17</v>
      </c>
      <c r="E11" s="10">
        <f>SUM(B11:D11)</f>
        <v/>
      </c>
    </row>
    <row r="12"/>
    <row r="13">
      <c r="A13" s="12" t="inlineStr">
        <is>
          <t>Nguồn: Cục Thống kê (03/10/2026), Bộ Công Thương. Xuất khẩu khu vực trong nước tính bằng tổng trừ khu vực FDI; nhập khẩu toàn nền kinh tế tính bằng hai khu vực cộng lại.</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6" customWidth="1" min="1" max="1"/>
    <col width="40" customWidth="1" min="2" max="2"/>
    <col width="40" customWidth="1" min="3" max="3"/>
  </cols>
  <sheetData>
    <row r="1" ht="34" customHeight="1">
      <c r="B1" s="1" t="inlineStr">
        <is>
          <t>Lãi suất và tỷ giá đi vào từng ngành (đánh giá TVN)</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Ngành</t>
        </is>
      </c>
      <c r="B5" s="4" t="inlineStr">
        <is>
          <t>Khi lãi suất tăng</t>
        </is>
      </c>
      <c r="C5" s="4" t="inlineStr">
        <is>
          <t>Khi tiền đồng mất giá</t>
        </is>
      </c>
    </row>
    <row r="6">
      <c r="A6" s="13" t="inlineStr">
        <is>
          <t>Bất động sản</t>
        </is>
      </c>
      <c r="B6" s="6" t="inlineStr">
        <is>
          <t>Chịu nặng: vay mua nhà 14–16%</t>
        </is>
      </c>
      <c r="C6" s="6" t="inlineStr">
        <is>
          <t>Chịu thiệt nếu nợ USD</t>
        </is>
      </c>
    </row>
    <row r="7">
      <c r="A7" s="13" t="inlineStr">
        <is>
          <t>Xây dựng</t>
        </is>
      </c>
      <c r="B7" s="6" t="inlineStr">
        <is>
          <t>Chịu: vốn lưu động đắt</t>
        </is>
      </c>
      <c r="C7" s="6" t="inlineStr">
        <is>
          <t>Vật liệu nhập đắt hơn</t>
        </is>
      </c>
    </row>
    <row r="8">
      <c r="A8" s="13" t="inlineStr">
        <is>
          <t>Bán lẻ</t>
        </is>
      </c>
      <c r="B8" s="6" t="inlineStr">
        <is>
          <t>Chịu: mua trả góp chậm</t>
        </is>
      </c>
      <c r="C8" s="6" t="inlineStr">
        <is>
          <t>Hàng nhập đắt hơn</t>
        </is>
      </c>
    </row>
    <row r="9">
      <c r="A9" s="13" t="inlineStr">
        <is>
          <t>Dệt may, thủy sản, gỗ</t>
        </is>
      </c>
      <c r="B9" s="6" t="inlineStr">
        <is>
          <t>Ít</t>
        </is>
      </c>
      <c r="C9" s="6" t="inlineStr">
        <is>
          <t>Được lợi về giá bán</t>
        </is>
      </c>
    </row>
    <row r="10">
      <c r="A10" s="13" t="inlineStr">
        <is>
          <t>Điện tử khu vực FDI</t>
        </is>
      </c>
      <c r="B10" s="6" t="inlineStr">
        <is>
          <t>Ít</t>
        </is>
      </c>
      <c r="C10" s="6" t="inlineStr">
        <is>
          <t>Ít: mua linh kiện và bán thành phẩm đều bằng USD</t>
        </is>
      </c>
    </row>
    <row r="11">
      <c r="A11" s="13" t="inlineStr">
        <is>
          <t>Ngân hàng</t>
        </is>
      </c>
      <c r="B11" s="6" t="inlineStr">
        <is>
          <t>Biên lãi tăng, nợ xấu tăng</t>
        </is>
      </c>
      <c r="C11" s="6" t="inlineStr">
        <is>
          <t>Rủi ro với khách hàng nợ USD</t>
        </is>
      </c>
    </row>
    <row r="12"/>
    <row r="13">
      <c r="A13" s="12" t="inlineStr">
        <is>
          <t>Chìa khóa lãi suất quý IV nằm ở Fed: khi Fed tăng tiếp, ngành dùng nhiều vốn vay chịu trước, còn ngành xuất khẩu của doanh nghiệp Việt (dệt may, thủy sản, gỗ) có chút lợi về giá khi tiền đồng yếu đi.</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8" customWidth="1" min="1" max="1"/>
    <col width="14" customWidth="1" min="2" max="2"/>
    <col width="14" customWidth="1" min="3" max="3"/>
    <col width="44" customWidth="1" min="4" max="4"/>
  </cols>
  <sheetData>
    <row r="1" ht="34" customHeight="1">
      <c r="B1" s="1" t="inlineStr">
        <is>
          <t>Xuất nhập khẩu hàng hóa năm 2026 (TVN dự báo, tỷ USD)</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Chỉ tiêu</t>
        </is>
      </c>
      <c r="B5" s="4" t="inlineStr">
        <is>
          <t>Cận dưới</t>
        </is>
      </c>
      <c r="C5" s="4" t="inlineStr">
        <is>
          <t>Cận trên</t>
        </is>
      </c>
      <c r="D5" s="4" t="inlineStr">
        <is>
          <t>Ghi chú</t>
        </is>
      </c>
    </row>
    <row r="6">
      <c r="A6" s="5" t="inlineStr">
        <is>
          <t>Xuất khẩu</t>
        </is>
      </c>
      <c r="B6" s="9" t="n">
        <v>602</v>
      </c>
      <c r="C6" s="9" t="n">
        <v>608</v>
      </c>
      <c r="D6" s="14" t="inlineStr">
        <is>
          <t>Lần đầu vượt 600 tỷ USD</t>
        </is>
      </c>
    </row>
    <row r="7">
      <c r="A7" s="5" t="inlineStr">
        <is>
          <t>Nhập khẩu</t>
        </is>
      </c>
      <c r="B7" s="9" t="n">
        <v>619</v>
      </c>
      <c r="C7" s="9" t="n">
        <v>625</v>
      </c>
      <c r="D7" s="14" t="inlineStr">
        <is>
          <t>Linh kiện điện tử 9 tháng +71,7%</t>
        </is>
      </c>
    </row>
    <row r="8">
      <c r="A8" s="5" t="inlineStr">
        <is>
          <t>Cán cân (xuất trừ nhập)</t>
        </is>
      </c>
      <c r="B8" s="10">
        <f>B6-C7</f>
        <v/>
      </c>
      <c r="C8" s="10">
        <f>C6-B7</f>
        <v/>
      </c>
      <c r="D8" s="14" t="inlineStr">
        <is>
          <t>Năm 2025 xuất siêu khoảng 20 tỷ USD</t>
        </is>
      </c>
    </row>
    <row r="9"/>
    <row r="10">
      <c r="A10" s="12" t="inlineStr">
        <is>
          <t>Kỷ lục xuất khẩu năm 2026 là kỷ lục của chuỗi điện tử khu vực FDI; nguồn đô la từ thương mại đang mỏng đi, và các ngành xuất khẩu của doanh nghiệp Việt gần như đứng yên.</t>
        </is>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40" customWidth="1" min="2" max="2"/>
    <col width="40" customWidth="1" min="3" max="3"/>
  </cols>
  <sheetData>
    <row r="1" ht="34" customHeight="1">
      <c r="B1" s="1" t="inlineStr">
        <is>
          <t>So dự báo GDP quý IV và cả năm 2026: phía chi tiêu và phía sản xuất</t>
        </is>
      </c>
    </row>
    <row r="2" ht="18" customHeight="1">
      <c r="B2" s="2" t="inlineStr">
        <is>
          <t>TVN &amp; PARTNERS · Kiến tạo giá trị, nâng tầm niềm tin. · Hotline 0936 090 649 · 093 800 4541 · https://tvnpartners.com.vn/ · vu.ntn@tvnpartners.com.vn</t>
        </is>
      </c>
    </row>
    <row r="3">
      <c r="B3" s="3" t="inlineStr">
        <is>
          <t>Địa chỉ: Số 5 Lô X Đường 61, KĐC Tân Quy Đông, KP 35, Phường Tân Hưng, TP HCM · Số liệu cập nhật tới 17/10/2026</t>
        </is>
      </c>
    </row>
    <row r="4"/>
    <row r="5">
      <c r="A5" s="4" t="inlineStr">
        <is>
          <t>Kịch bản</t>
        </is>
      </c>
      <c r="B5" s="4" t="inlineStr">
        <is>
          <t>Phía chi tiêu: quý IV · cả năm</t>
        </is>
      </c>
      <c r="C5" s="4" t="inlineStr">
        <is>
          <t>Phía sản xuất: quý IV · cả năm</t>
        </is>
      </c>
    </row>
    <row r="6">
      <c r="A6" s="13" t="inlineStr">
        <is>
          <t>Cơ sở (55%)</t>
        </is>
      </c>
      <c r="B6" s="6" t="inlineStr">
        <is>
          <t>11–11,5% · 9,6–9,7%</t>
        </is>
      </c>
      <c r="C6" s="6" t="inlineStr">
        <is>
          <t>11,24% · 9,63%</t>
        </is>
      </c>
    </row>
    <row r="7">
      <c r="A7" s="13" t="inlineStr">
        <is>
          <t>Tích cực (20%)</t>
        </is>
      </c>
      <c r="B7" s="6" t="inlineStr">
        <is>
          <t>12–12,5% · 9,9–10%</t>
        </is>
      </c>
      <c r="C7" s="6" t="inlineStr">
        <is>
          <t>12,25% · 9,91%</t>
        </is>
      </c>
    </row>
    <row r="8">
      <c r="A8" s="13" t="inlineStr">
        <is>
          <t>Tiêu cực (25%)</t>
        </is>
      </c>
      <c r="B8" s="6" t="inlineStr">
        <is>
          <t>9,5–10% · 9,2–9,3%</t>
        </is>
      </c>
      <c r="C8" s="6" t="inlineStr">
        <is>
          <t>9,96% · 9,27%</t>
        </is>
      </c>
    </row>
    <row r="9">
      <c r="A9" s="13" t="inlineStr">
        <is>
          <t>Trần</t>
        </is>
      </c>
      <c r="B9" s="6" t="inlineStr">
        <is>
          <t>Tích lũy tài sản phải tăng 31–32% để đạt 12,5%</t>
        </is>
      </c>
      <c r="C9" s="6" t="inlineStr">
        <is>
          <t>12,3% · 9,9%</t>
        </is>
      </c>
    </row>
    <row r="10"/>
    <row r="11">
      <c r="A11" s="12" t="inlineStr">
        <is>
          <t>Hai cách khớp nhau vì cùng hỏi một câu theo hai chiều: phía chi tiêu hỏi ai đủ tiền mua, phía sản xuất hỏi ai đủ sức làm ra; phía chi tiêu thường cho số cao hơn một chút, cùng chiều với chênh lệch thống kê quý III, nên trần thực tế năm 2026 quanh 9,9–10%.</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2026-10-17T01:57:56Z</dcterms:created>
  <dcterms:modified xmlns:dcterms="http://purl.org/dc/terms/" xmlns:xsi="http://www.w3.org/2001/XMLSchema-instance" xsi:type="dcterms:W3CDTF">2026-10-17T02:16:26Z</dcterms:modified>
</cp:coreProperties>
</file>